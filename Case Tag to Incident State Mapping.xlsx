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dante\"/>
    </mc:Choice>
  </mc:AlternateContent>
  <xr:revisionPtr revIDLastSave="0" documentId="13_ncr:1_{487F3032-A98F-4FE3-9068-F052F2B9DDF0}" xr6:coauthVersionLast="47" xr6:coauthVersionMax="47" xr10:uidLastSave="{00000000-0000-0000-0000-000000000000}"/>
  <bookViews>
    <workbookView xWindow="2775" yWindow="4590" windowWidth="18780" windowHeight="12915" xr2:uid="{3C5AD47D-FBFF-4990-989C-55E61E9FDC26}"/>
  </bookViews>
  <sheets>
    <sheet name="Case Tags" sheetId="1" r:id="rId1"/>
  </sheets>
  <definedNames>
    <definedName name="_xlnm._FilterDatabase" localSheetId="0" hidden="1">'Case Tags'!$A$1:$G$1006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2" i="1"/>
</calcChain>
</file>

<file path=xl/sharedStrings.xml><?xml version="1.0" encoding="utf-8"?>
<sst xmlns="http://schemas.openxmlformats.org/spreadsheetml/2006/main" count="1083" uniqueCount="912">
  <si>
    <t>Case Tag</t>
  </si>
  <si>
    <t>. Continental Italian Restaurant</t>
  </si>
  <si>
    <t>@CLG IN SUIT</t>
  </si>
  <si>
    <t>@PRE-SETTLEMENT LOANS (2) re STG CLAIM</t>
  </si>
  <si>
    <t>1412 64th Ave.</t>
  </si>
  <si>
    <t>2nd loan via Legal Bay - Tribeca</t>
  </si>
  <si>
    <t>3rd Party Injury claim</t>
  </si>
  <si>
    <t>3rd Party Injury claim - lay person</t>
  </si>
  <si>
    <t>404</t>
  </si>
  <si>
    <t>45985.575</t>
  </si>
  <si>
    <t>4805 Warnock Street</t>
  </si>
  <si>
    <t>7th Day Adventist</t>
  </si>
  <si>
    <t xml:space="preserve">7th Day Adventist </t>
  </si>
  <si>
    <t>Abraxas</t>
  </si>
  <si>
    <t>Abraxas (handled by CLG)</t>
  </si>
  <si>
    <t>Abraxas Academy</t>
  </si>
  <si>
    <t>Abraxas Youth and Family Services</t>
  </si>
  <si>
    <t>Abraxas Youth Center</t>
  </si>
  <si>
    <t>Abraxus</t>
  </si>
  <si>
    <t>Absued at NJ Shore</t>
  </si>
  <si>
    <t>Abused 06/2019 - SOL 7 years</t>
  </si>
  <si>
    <t>Abused at NJ Shore</t>
  </si>
  <si>
    <t>Abused by a brother</t>
  </si>
  <si>
    <t>ABUSED BY FR. GALDON</t>
  </si>
  <si>
    <t>Abused by gym teacher</t>
  </si>
  <si>
    <t>Abused by religious order priest</t>
  </si>
  <si>
    <t>Abused in NY</t>
  </si>
  <si>
    <t>ACCESS Chester Community Center</t>
  </si>
  <si>
    <t>Acclaim Rehabilitation and Care Center</t>
  </si>
  <si>
    <t>Act one in Wilkesbarre PA</t>
  </si>
  <si>
    <t>Adam Horowitz Referral</t>
  </si>
  <si>
    <t>Adelphi Quality Home</t>
  </si>
  <si>
    <t>Adelphi Village</t>
  </si>
  <si>
    <t>Adelphoi Village</t>
  </si>
  <si>
    <t>Adrian Moody Referral</t>
  </si>
  <si>
    <t>Adult Abuse Case</t>
  </si>
  <si>
    <t>Adult Case</t>
  </si>
  <si>
    <t>Adult Sexual Abuse</t>
  </si>
  <si>
    <t>Affidavit Only</t>
  </si>
  <si>
    <t>After rescoring - Level 1</t>
  </si>
  <si>
    <t>After TA Client</t>
  </si>
  <si>
    <t>AH Referral</t>
  </si>
  <si>
    <t>Allegany Dept of Human Services</t>
  </si>
  <si>
    <t>Allegheny Detention Center</t>
  </si>
  <si>
    <t>ALLENTOWN DIOCESE</t>
  </si>
  <si>
    <t>Also abused down in the shore in NJ</t>
  </si>
  <si>
    <t>Also has claim against boy scouts</t>
  </si>
  <si>
    <t>Altoona</t>
  </si>
  <si>
    <t>Altoona Johnstown Diocese</t>
  </si>
  <si>
    <t>Altoona-Johnston Diocese</t>
  </si>
  <si>
    <t>Anoopam Mission</t>
  </si>
  <si>
    <t>apostolic</t>
  </si>
  <si>
    <t>Archdiocese of Newark</t>
  </si>
  <si>
    <t>Archdiocese of Philadelphia</t>
  </si>
  <si>
    <t>Philadelphia Archdiocese</t>
  </si>
  <si>
    <t>Arthur Brisbane Child Treatment Center</t>
  </si>
  <si>
    <t>Atlas Rehabilitation &amp; Healthcare at Daughters of Miriam</t>
  </si>
  <si>
    <t>B&amp;R Call In</t>
  </si>
  <si>
    <t>BAD WITNESS</t>
  </si>
  <si>
    <t>BAP</t>
  </si>
  <si>
    <t>BAP - NO QD</t>
  </si>
  <si>
    <t>BAP - QD LEVEL 1</t>
  </si>
  <si>
    <t>BAP before Advisory Board</t>
  </si>
  <si>
    <t>BAP Ineligible</t>
  </si>
  <si>
    <t>BAP Level 2</t>
  </si>
  <si>
    <t>BAP NO QD</t>
  </si>
  <si>
    <t>BAP UNFAVORABLE</t>
  </si>
  <si>
    <t>Baptist</t>
  </si>
  <si>
    <t>Baptist Church</t>
  </si>
  <si>
    <t>Barrington BOE</t>
  </si>
  <si>
    <t>Becky's Email: BBURKE@midwest-health.com</t>
  </si>
  <si>
    <t>Berkeley Terrace Elementary School</t>
  </si>
  <si>
    <t>Beth Baldinger Referral</t>
  </si>
  <si>
    <t>Bethany Assembly of God</t>
  </si>
  <si>
    <t>Bible Baptist Christian Academy</t>
  </si>
  <si>
    <t>Big Brother &amp; Big Sister</t>
  </si>
  <si>
    <t>Bishop Neumann High School</t>
  </si>
  <si>
    <t>Bobby Moak referral</t>
  </si>
  <si>
    <t>Boy Scouts</t>
  </si>
  <si>
    <t>Boys &amp; Girls Club (BGCA)</t>
  </si>
  <si>
    <t>Boys and Girls Club</t>
  </si>
  <si>
    <t>BR Call-In</t>
  </si>
  <si>
    <t>Brooke Glen Behavioral Hospital</t>
  </si>
  <si>
    <t>Brooklyn Diocse</t>
  </si>
  <si>
    <t>BROTHER DOES NOT KNOW ABOUT ABUSE!</t>
  </si>
  <si>
    <t>Brother- not program eligible</t>
  </si>
  <si>
    <t>Brother of Brian Dowd</t>
  </si>
  <si>
    <t>Brother of Chris Adams</t>
  </si>
  <si>
    <t>Brother of Craig Zappley</t>
  </si>
  <si>
    <t>Brother of Edwin Cintron</t>
  </si>
  <si>
    <t>Brother of Kevin O'Connor Dowd Sr.'s Estate</t>
  </si>
  <si>
    <t>Brother of Michael Gonzales</t>
  </si>
  <si>
    <t>brother of Michael Iossa</t>
  </si>
  <si>
    <t>BROTHER of MICHAEL ZAPPLEY</t>
  </si>
  <si>
    <t>Brother of Nelson Cintron</t>
  </si>
  <si>
    <t>Brother to Josephine Baylis</t>
  </si>
  <si>
    <t>BSA Claim</t>
  </si>
  <si>
    <t>Burlington County Juvenile Detention Center</t>
  </si>
  <si>
    <t>Byberry State Hospital</t>
  </si>
  <si>
    <t>BYDC- Bensalem Youth Detention Center</t>
  </si>
  <si>
    <t>Bypassing CDR - BAP</t>
  </si>
  <si>
    <t>Byzantine - Eparchy of Passaic abuse</t>
  </si>
  <si>
    <t>California Devereux</t>
  </si>
  <si>
    <t>CALL CELL</t>
  </si>
  <si>
    <t>Call Code Word: FINRA regarding C.A.T.</t>
  </si>
  <si>
    <t>call house phone first</t>
  </si>
  <si>
    <t>CALL/TEXT!! NO EMAIL.</t>
  </si>
  <si>
    <t>Camden</t>
  </si>
  <si>
    <t>Camden County Juvenile Detention Center</t>
  </si>
  <si>
    <t>Camden Diocese</t>
  </si>
  <si>
    <t>Camp Gan Israel Poconos</t>
  </si>
  <si>
    <t>Camp Lejeune</t>
  </si>
  <si>
    <t>CAN ANGER EASILY</t>
  </si>
  <si>
    <t>Carmen DeGisi Referral</t>
  </si>
  <si>
    <t>Catholic School</t>
  </si>
  <si>
    <t>Catholic Social Services of Philadelphia</t>
  </si>
  <si>
    <t>Catholic University</t>
  </si>
  <si>
    <t>CCIU Eligible</t>
  </si>
  <si>
    <t>CDR COMPLETE</t>
  </si>
  <si>
    <t>Cedar Brook Detention</t>
  </si>
  <si>
    <t>Central Elementary School</t>
  </si>
  <si>
    <t>Chartwell Manor</t>
  </si>
  <si>
    <t>Child Support Lien</t>
  </si>
  <si>
    <t>Children Of The Future Daycare Inc</t>
  </si>
  <si>
    <t>Children's Home of Easton</t>
  </si>
  <si>
    <t>Children's home of York-Tindall House</t>
  </si>
  <si>
    <t>Children's Services</t>
  </si>
  <si>
    <t>Christian Home of Johnstown</t>
  </si>
  <si>
    <t>CHURCH</t>
  </si>
  <si>
    <t>Church of the Lord Jesus Christ  Apostolic Faith</t>
  </si>
  <si>
    <t>Claim form received</t>
  </si>
  <si>
    <t>Claim Form Submitted</t>
  </si>
  <si>
    <t>Claim forms received</t>
  </si>
  <si>
    <t>Claim from received</t>
  </si>
  <si>
    <t>Claim registerd</t>
  </si>
  <si>
    <t>Claim registerd 5/10/19</t>
  </si>
  <si>
    <t>Claim registered</t>
  </si>
  <si>
    <t>Claim registered 5/3/19</t>
  </si>
  <si>
    <t>Claim registered.</t>
  </si>
  <si>
    <t>Claim regsitered</t>
  </si>
  <si>
    <t>Claim submitted</t>
  </si>
  <si>
    <t>CLG</t>
  </si>
  <si>
    <t>CLG ONLY - IN SUIT</t>
  </si>
  <si>
    <t>CLG Referral</t>
  </si>
  <si>
    <t>CLG Referral - VQ</t>
  </si>
  <si>
    <t>Client</t>
  </si>
  <si>
    <t>client ask to receive an email or writing that her identity will be confidential and will not be posted publicly before filing her case</t>
  </si>
  <si>
    <t>CLIENT DECLARED BANKRUPTCY- NEED TO CONTACT TRUSTEE WHEN SETTLEMENT</t>
  </si>
  <si>
    <t>CLIENT IS DECEASED- CALL MOTHER!</t>
  </si>
  <si>
    <t>Client Referral - Nicholas Somers</t>
  </si>
  <si>
    <t>Client wants to speak with Marty before filing anything.</t>
  </si>
  <si>
    <t>Client Yvette James' sister</t>
  </si>
  <si>
    <t>Coach</t>
  </si>
  <si>
    <t>Coatesville Methodist Church</t>
  </si>
  <si>
    <t>Colorado Devereux</t>
  </si>
  <si>
    <t>Columbia County Dept. of Youth Services</t>
  </si>
  <si>
    <t>CONTACT VIA EMAIL</t>
  </si>
  <si>
    <t>Contacted after program end date</t>
  </si>
  <si>
    <t>Convicted of 3rd Degree Murder</t>
  </si>
  <si>
    <t>Cousin Tonya Johnson Companion Case</t>
  </si>
  <si>
    <t>Covered Bridge Loan</t>
  </si>
  <si>
    <t>CPAP</t>
  </si>
  <si>
    <t>CPAP ALSO</t>
  </si>
  <si>
    <t>CPM - L -000485-21</t>
  </si>
  <si>
    <t>Crestwood Services</t>
  </si>
  <si>
    <t>CROSSOVER</t>
  </si>
  <si>
    <t>Crossover NJ</t>
  </si>
  <si>
    <t>Crossover NY</t>
  </si>
  <si>
    <t>CSA- NJ Church</t>
  </si>
  <si>
    <t>CSA-PA</t>
  </si>
  <si>
    <t>CT Devereux</t>
  </si>
  <si>
    <t>Cumberland County Juvenile Center</t>
  </si>
  <si>
    <t>D Requested Recs</t>
  </si>
  <si>
    <t>Daniel Rice</t>
  </si>
  <si>
    <t>Dansville Treatment Unit</t>
  </si>
  <si>
    <t>Danville Center for Adolescent Females</t>
  </si>
  <si>
    <t>Danville State Psychiatric Hospital</t>
  </si>
  <si>
    <t>DD+GM</t>
  </si>
  <si>
    <t>De Llano referral</t>
  </si>
  <si>
    <t>Deceased</t>
  </si>
  <si>
    <t>Deceased from COVID</t>
  </si>
  <si>
    <t>Declined IVCP Offer</t>
  </si>
  <si>
    <t>Delaware PA Detention</t>
  </si>
  <si>
    <t>Delbarton School Case</t>
  </si>
  <si>
    <t>Dept of Children's Services</t>
  </si>
  <si>
    <t>Dept. Of Children's Services</t>
  </si>
  <si>
    <t>Dept. of Human Services</t>
  </si>
  <si>
    <t>DEV - TD</t>
  </si>
  <si>
    <t>Devereux</t>
  </si>
  <si>
    <t>Devereux - CT</t>
  </si>
  <si>
    <t>Devereux Brandywine</t>
  </si>
  <si>
    <t>Devereux School Abuse</t>
  </si>
  <si>
    <t>Deveruex</t>
  </si>
  <si>
    <t>DHS Case</t>
  </si>
  <si>
    <t>Diocese of Camden</t>
  </si>
  <si>
    <t>Diocese of Greenburg</t>
  </si>
  <si>
    <t>Diocese of Metuchen</t>
  </si>
  <si>
    <t>Diocese of Paterson</t>
  </si>
  <si>
    <t>Diocese of Pittsburgh</t>
  </si>
  <si>
    <t>Pittsburgh Diocese</t>
  </si>
  <si>
    <t>Diocese of Scranton</t>
  </si>
  <si>
    <t>Scranton Diocese</t>
  </si>
  <si>
    <t>Diocese of Trenton</t>
  </si>
  <si>
    <t>Diocese of Wilmington</t>
  </si>
  <si>
    <t>Discrimination</t>
  </si>
  <si>
    <t>DO NOT CALL BEFORE TEXTING</t>
  </si>
  <si>
    <t>DO NOT REP</t>
  </si>
  <si>
    <t>DO NOT REP/HIRED ANOTHER FIRM</t>
  </si>
  <si>
    <t>DO NOT REPRESENT</t>
  </si>
  <si>
    <t>DO NOT SEND ANY MAIL!!</t>
  </si>
  <si>
    <t>Do not send anything via mail. ONLY EMAIL.</t>
  </si>
  <si>
    <t>DO NOT SEND COPY OF FINALIZED CLAIM FORM</t>
  </si>
  <si>
    <t>DO NOT SEND EMAIL!</t>
  </si>
  <si>
    <t>DO NOT SEND MAIL TO HOUSE</t>
  </si>
  <si>
    <t>DO NOT SPEAK WITH HUSBAND</t>
  </si>
  <si>
    <t>DO NOT USE THIS HR PROFILE- ALSO HAS STG PROFILE</t>
  </si>
  <si>
    <t>DO NOT USE THIS HR PROFILE-DUPLICATE</t>
  </si>
  <si>
    <t>Doctor Case</t>
  </si>
  <si>
    <t>DOES NOT KNOW NAME</t>
  </si>
  <si>
    <t>DOES NOT MEET CRITERIA</t>
  </si>
  <si>
    <t>Does not want to participate</t>
  </si>
  <si>
    <t>DOES NOT WANT TO PROCEED W EBE SCHEDULING</t>
  </si>
  <si>
    <t>DOES NOT WANT TO PROCEED WITH CLAIM</t>
  </si>
  <si>
    <t>does not want to pursue</t>
  </si>
  <si>
    <t>Dominique McKillop</t>
  </si>
  <si>
    <t>DP</t>
  </si>
  <si>
    <t>Drug and ETOH</t>
  </si>
  <si>
    <t>Dual Rep - Fegan Scott</t>
  </si>
  <si>
    <t>Dual Rep (CLG and SSS)</t>
  </si>
  <si>
    <t>Dual rep w Berger</t>
  </si>
  <si>
    <t>Dual rep w CLG</t>
  </si>
  <si>
    <t>Dual rep w D. Miller</t>
  </si>
  <si>
    <t>Dual rep w Eisenberg</t>
  </si>
  <si>
    <t>Dual rep w LK</t>
  </si>
  <si>
    <t>dual rep w SSS</t>
  </si>
  <si>
    <t>DUAL REP w/ Herman Law</t>
  </si>
  <si>
    <t>Dual rep w/ LK</t>
  </si>
  <si>
    <t>Dual Rep w/ Rod Dellano</t>
  </si>
  <si>
    <t>dual-representation</t>
  </si>
  <si>
    <t>DUEL REP WITH ADAM HOROWITZ</t>
  </si>
  <si>
    <t>DUEL REP WITH SSS- SEE OTHER LISTING FOR THIS CLIENT</t>
  </si>
  <si>
    <t>DUPLICATE</t>
  </si>
  <si>
    <t>DUPLICATE HR LISTING- See other notes for Brandon Patterson</t>
  </si>
  <si>
    <t>DV client's brother</t>
  </si>
  <si>
    <t>DYFS</t>
  </si>
  <si>
    <t>Edelson Firm Referral</t>
  </si>
  <si>
    <t>Edison Township School District</t>
  </si>
  <si>
    <t>Edmund L Thomas Shelter</t>
  </si>
  <si>
    <t>Edna Mahan Correctional Facility</t>
  </si>
  <si>
    <t>Eihab Human Services</t>
  </si>
  <si>
    <t>Eisenhower Middle-High School</t>
  </si>
  <si>
    <t>Eligibility for Expanded BAP Examination</t>
  </si>
  <si>
    <t>Eligible for Expanded BAP Exam</t>
  </si>
  <si>
    <t>Elk County Child Youth Services</t>
  </si>
  <si>
    <t>EMAIL DOCS ONLY!! DO NOT MAIL ANYTHING!</t>
  </si>
  <si>
    <t>EMAIL ONLY</t>
  </si>
  <si>
    <t>EMAIL ONLY! DO NOT MAIL DOCS</t>
  </si>
  <si>
    <t>EMAIL ONLY! DO NOT MAIL!!!</t>
  </si>
  <si>
    <t>EO</t>
  </si>
  <si>
    <t>Erie</t>
  </si>
  <si>
    <t>Erie County Juvenile Detention</t>
  </si>
  <si>
    <t>Erie County Juvenile Detention Center</t>
  </si>
  <si>
    <t>Erie County Perseus</t>
  </si>
  <si>
    <t>Erie Diocese</t>
  </si>
  <si>
    <t>Essex County Juvenile Detention Center</t>
  </si>
  <si>
    <t>Ethen Ostroff Referral</t>
  </si>
  <si>
    <t>Eugene Petrov Case</t>
  </si>
  <si>
    <t>Evangelic</t>
  </si>
  <si>
    <t>Evangelical Lutheran</t>
  </si>
  <si>
    <t>Ewing Board of Ed</t>
  </si>
  <si>
    <t>Ewing Board of Education Lore Elementary School Raymond Miller</t>
  </si>
  <si>
    <t>EXP BAP - QD LEVEL 1</t>
  </si>
  <si>
    <t>EXP BAP RESULTS - Level 1.5</t>
  </si>
  <si>
    <t>EXP BAP RESULTS - NO QD</t>
  </si>
  <si>
    <t>EXP BAP RESULTS - QD LEVEL 2</t>
  </si>
  <si>
    <t>Exp. BAP Exam</t>
  </si>
  <si>
    <t>Exp. BAP Result - NO QD</t>
  </si>
  <si>
    <t>Expanded BAP Results - LEVEL 1</t>
  </si>
  <si>
    <t>Expanded BAP Results - NO QD</t>
  </si>
  <si>
    <t>Extended BAP Exam</t>
  </si>
  <si>
    <t>Failed Validity - now BAP</t>
  </si>
  <si>
    <t>Fairmount Behavioral Hospital</t>
  </si>
  <si>
    <t>FEE SHARING AGREEMENT WITH ROD DELLANO</t>
  </si>
  <si>
    <t>Feldman Shepherd- Paul Lauricella Referral</t>
  </si>
  <si>
    <t>First Spanish Assembly Of God</t>
  </si>
  <si>
    <t>First United Methodist Church</t>
  </si>
  <si>
    <t>Florida Devereux</t>
  </si>
  <si>
    <t>FOR SETTLEMENT- REMEMBER LETTER OF PROTECTION!</t>
  </si>
  <si>
    <t>Foster Home</t>
  </si>
  <si>
    <t>Franciscan</t>
  </si>
  <si>
    <t>FRANK passed away 04/30/21</t>
  </si>
  <si>
    <t>Friend of Eric Myers</t>
  </si>
  <si>
    <t>Friend of Leonard Mann</t>
  </si>
  <si>
    <t>Friend of Mike Delguerico</t>
  </si>
  <si>
    <t>Friend of Peter Bonastia</t>
  </si>
  <si>
    <t>Friends with Daniel McHugh</t>
  </si>
  <si>
    <t>Friends with John Byrne</t>
  </si>
  <si>
    <t>Gabriel's Hall</t>
  </si>
  <si>
    <t>Gannondale School for Girls</t>
  </si>
  <si>
    <t>Geoff Budden Referral</t>
  </si>
  <si>
    <t>George Jr Republic</t>
  </si>
  <si>
    <t>George Jr. Academy</t>
  </si>
  <si>
    <t>George Jr. Academy PA</t>
  </si>
  <si>
    <t>George Junior Republic</t>
  </si>
  <si>
    <t>George Junior Republic Institution in PA</t>
  </si>
  <si>
    <t>George W Hill Correctional Facility</t>
  </si>
  <si>
    <t>Girard Academic Music Program;</t>
  </si>
  <si>
    <t>Girl Scouts of America</t>
  </si>
  <si>
    <t>Glade Run</t>
  </si>
  <si>
    <t>Gladerun Lutheran Services</t>
  </si>
  <si>
    <t>glen</t>
  </si>
  <si>
    <t>Glen Brook Rehabilitation and Healthcare Center</t>
  </si>
  <si>
    <t>Glen Mills</t>
  </si>
  <si>
    <t>Glen Mills School</t>
  </si>
  <si>
    <t>Glen Mills - 185 Glen Mills Rd Glen Mills PA 19342</t>
  </si>
  <si>
    <t>Glen Mills - Tolling Agreement</t>
  </si>
  <si>
    <t>Glen Mills-TD</t>
  </si>
  <si>
    <t>Gloucester City High School</t>
  </si>
  <si>
    <t>GM</t>
  </si>
  <si>
    <t>GM - TD</t>
  </si>
  <si>
    <t>GM + DP</t>
  </si>
  <si>
    <t>GMS</t>
  </si>
  <si>
    <t>Goes by Bill</t>
  </si>
  <si>
    <t>Goes by Chris</t>
  </si>
  <si>
    <t>Goes by Jeff</t>
  </si>
  <si>
    <t>Goes by Jerry</t>
  </si>
  <si>
    <t>Goes by Joe</t>
  </si>
  <si>
    <t>Goes by Kenny</t>
  </si>
  <si>
    <t>Goes by Nico</t>
  </si>
  <si>
    <t>Goes by Reggie</t>
  </si>
  <si>
    <t>Goes by Ted</t>
  </si>
  <si>
    <t>GOOD CASE</t>
  </si>
  <si>
    <t>GOOD CASE- BAD ABUSE</t>
  </si>
  <si>
    <t>GOOD WITNESS</t>
  </si>
  <si>
    <t>Greensburg</t>
  </si>
  <si>
    <t>Greensburg Catholic High School</t>
  </si>
  <si>
    <t>Greensburg Questionaire completed</t>
  </si>
  <si>
    <t>Greensburg Questionnaire submitted 5/20</t>
  </si>
  <si>
    <t>Greensburg questionnaire sumbitted 5/20</t>
  </si>
  <si>
    <t>Greg Gianfarcaro Referral</t>
  </si>
  <si>
    <t>Greg Gianforcaro referral</t>
  </si>
  <si>
    <t>Greg Gianfracaro</t>
  </si>
  <si>
    <t>Grungo &amp; Colarula Referral</t>
  </si>
  <si>
    <t>Hampton Behavioral Health Center</t>
  </si>
  <si>
    <t>Harborcreek Youth Services</t>
  </si>
  <si>
    <t>Harborfields Atlantic Youth Center</t>
  </si>
  <si>
    <t>Harrisburg Diocese</t>
  </si>
  <si>
    <t>Harrisburg Questionaire completed</t>
  </si>
  <si>
    <t>HAS ANOTHER LAWYER</t>
  </si>
  <si>
    <t>HAS LOANS</t>
  </si>
  <si>
    <t>Hazing</t>
  </si>
  <si>
    <t>Hedonism II</t>
  </si>
  <si>
    <t>Herlich Juvenile Detention Center</t>
  </si>
  <si>
    <t>Hermitage House</t>
  </si>
  <si>
    <t>Highrise</t>
  </si>
  <si>
    <t>Hired Another Firm</t>
  </si>
  <si>
    <t>Hired New Firm Sacco &amp; Fillas</t>
  </si>
  <si>
    <t>Holy Family Institute</t>
  </si>
  <si>
    <t>HOMELESS</t>
  </si>
  <si>
    <t>Hospital</t>
  </si>
  <si>
    <t>Hudson County Juvenile Detention Center</t>
  </si>
  <si>
    <t>Hudson County Youth House</t>
  </si>
  <si>
    <t>Hudson Foster Home</t>
  </si>
  <si>
    <t>IF INELGIBLE- LET CM KNOW</t>
  </si>
  <si>
    <t>IF INELIGIBLE- LET CM KNOW</t>
  </si>
  <si>
    <t>IF NOT ELIGIBLE- LET CM KNOW</t>
  </si>
  <si>
    <t>IN JAIL</t>
  </si>
  <si>
    <t>IN SOL</t>
  </si>
  <si>
    <t>IN STATUE</t>
  </si>
  <si>
    <t>In Statute</t>
  </si>
  <si>
    <t>IN SUIT</t>
  </si>
  <si>
    <t>IN SUIT - DEV</t>
  </si>
  <si>
    <t>IN SUIT - STG</t>
  </si>
  <si>
    <t>IN SUIT - STG (CLG ONLY)</t>
  </si>
  <si>
    <t>IN SUIT - STG ONLY</t>
  </si>
  <si>
    <t>IN SUIT - VQ</t>
  </si>
  <si>
    <t>IN SUIT - VQ ONLY</t>
  </si>
  <si>
    <t>IN SUIT (filed by CLG)</t>
  </si>
  <si>
    <t>In Suit @SSS</t>
  </si>
  <si>
    <t>In Suit-GMS SFC</t>
  </si>
  <si>
    <t>inc</t>
  </si>
  <si>
    <t>Incarcerated</t>
  </si>
  <si>
    <t>Incarcerated - Federal</t>
  </si>
  <si>
    <t>Incarcerated - Federal Detention Center</t>
  </si>
  <si>
    <t>Incarcerated - SCI Albion</t>
  </si>
  <si>
    <t>Incarcerated - SCI Chester</t>
  </si>
  <si>
    <t>Incarcerated SCI Rockview</t>
  </si>
  <si>
    <t>INCLUDE MIDDLE IN MAIL- SON SHARES SAME NAME AND LIVES AT HOME- MIDDLE INITIAL TO I.D. CLIENT</t>
  </si>
  <si>
    <t>Ineligible for IRRP program</t>
  </si>
  <si>
    <t>Ineligible For IVCP</t>
  </si>
  <si>
    <t>Ineligible for program</t>
  </si>
  <si>
    <t>Ineligible IRCP</t>
  </si>
  <si>
    <t>INELIGIBLE TO RECEIVE SETTLEMENT FUNDS</t>
  </si>
  <si>
    <t>INJECTIONS AND/OR SURGERY PERFORMED</t>
  </si>
  <si>
    <t>Inmate # 1177536</t>
  </si>
  <si>
    <t>Insight through Virtua Primary Care</t>
  </si>
  <si>
    <t>IN-SUIT</t>
  </si>
  <si>
    <t>IN-SUIT GMS SFC</t>
  </si>
  <si>
    <t>In-suit Writ of Summons</t>
  </si>
  <si>
    <t>Interested in Counseling</t>
  </si>
  <si>
    <t>International Client</t>
  </si>
  <si>
    <t>Isaacs Foster Home</t>
  </si>
  <si>
    <t>JAA Referral</t>
  </si>
  <si>
    <t>JAA/Greg Referral</t>
  </si>
  <si>
    <t>Jamesburg Training School for Boys</t>
  </si>
  <si>
    <t>JB + DP</t>
  </si>
  <si>
    <t>JCC</t>
  </si>
  <si>
    <t>Jefferson Abington Hospital</t>
  </si>
  <si>
    <t>Jehovahs Witness</t>
  </si>
  <si>
    <t>John Cuff's brother</t>
  </si>
  <si>
    <t>John Falciani Referral</t>
  </si>
  <si>
    <t>John likes</t>
  </si>
  <si>
    <t>John Wieder Esq. Referral</t>
  </si>
  <si>
    <t>Joseph C. Caruso</t>
  </si>
  <si>
    <t>Joseph Traub Referral</t>
  </si>
  <si>
    <t>JR Masterman School</t>
  </si>
  <si>
    <t>Juvenile Justice Services Center</t>
  </si>
  <si>
    <t>Juvenile Medium Security Facility</t>
  </si>
  <si>
    <t>KEEP CONFIDENTIAL</t>
  </si>
  <si>
    <t>Keystone Adolescent Center</t>
  </si>
  <si>
    <t>KidsPeace</t>
  </si>
  <si>
    <t>Kingdom Life Childcare</t>
  </si>
  <si>
    <t>Knights of Columbus</t>
  </si>
  <si>
    <t>Kwartler Manus Referral</t>
  </si>
  <si>
    <t>Lackawanna County Children's Services</t>
  </si>
  <si>
    <t>Lackawanna County Juvenile Detention</t>
  </si>
  <si>
    <t>Lancaster County</t>
  </si>
  <si>
    <t>Lancaster County Juvenile Detention</t>
  </si>
  <si>
    <t>Lancaster Youth Intervention Center</t>
  </si>
  <si>
    <t>LATE FILER</t>
  </si>
  <si>
    <t>Laura Ahearn Referral</t>
  </si>
  <si>
    <t>LawCash/Cartiga</t>
  </si>
  <si>
    <t>Lay Person</t>
  </si>
  <si>
    <t>LBFR Call In</t>
  </si>
  <si>
    <t>LBFR Call-In</t>
  </si>
  <si>
    <t>Legal Bay Funding LLC</t>
  </si>
  <si>
    <t>Lehigh County Facility</t>
  </si>
  <si>
    <t>Leonia BOE</t>
  </si>
  <si>
    <t>Letter of Protection</t>
  </si>
  <si>
    <t>LEVEL 1</t>
  </si>
  <si>
    <t>LEVEL 1 - SUPPLEMENTAL BENEFITS</t>
  </si>
  <si>
    <t>Level 1 QD</t>
  </si>
  <si>
    <t>Levinson Axelrod Referral</t>
  </si>
  <si>
    <t>Levy Konigsberg Ref</t>
  </si>
  <si>
    <t>Lima Detention Center</t>
  </si>
  <si>
    <t>Lima Detention Center -TD</t>
  </si>
  <si>
    <t>LIMITED TORT/LIMITATION ON LAWSUIT</t>
  </si>
  <si>
    <t>Lisa Carcel's sister</t>
  </si>
  <si>
    <t>Lisa Dorn (Derivative Claimant)</t>
  </si>
  <si>
    <t>Little League Coach</t>
  </si>
  <si>
    <t>LIVES WITH MOTHER- SEND ALL CORRESPONDENCE TO PRIVATE MAIL BOX!!</t>
  </si>
  <si>
    <t>LOAN</t>
  </si>
  <si>
    <t>LOP to crim defense atty</t>
  </si>
  <si>
    <t>Loysville Youth Development Center</t>
  </si>
  <si>
    <t>MAF</t>
  </si>
  <si>
    <t>MAF - NO QD</t>
  </si>
  <si>
    <t>Maguire AFB</t>
  </si>
  <si>
    <t>Malvern Treatment Center</t>
  </si>
  <si>
    <t>Mander Summer Camp</t>
  </si>
  <si>
    <t>Marcus</t>
  </si>
  <si>
    <t>Marist Brothers</t>
  </si>
  <si>
    <t>Martin Luther King High School</t>
  </si>
  <si>
    <t>Matt Solomon Referral</t>
  </si>
  <si>
    <t>Medicaid</t>
  </si>
  <si>
    <t>Medical Treatment</t>
  </si>
  <si>
    <t>Medicare LIEN</t>
  </si>
  <si>
    <t>Mental Health and Mental Retardation (MHR)</t>
  </si>
  <si>
    <t>MENTION LEVY BALDANTE WHEN CALLING DO NOT MENTION CASE</t>
  </si>
  <si>
    <t>Messiah's Light House</t>
  </si>
  <si>
    <t>Metuchen</t>
  </si>
  <si>
    <t>MHY Family Services</t>
  </si>
  <si>
    <t>Michigan</t>
  </si>
  <si>
    <t>Middlesex County Jail</t>
  </si>
  <si>
    <t>Middlesex County Shelter</t>
  </si>
  <si>
    <t>Middlesex County Youth Services</t>
  </si>
  <si>
    <t>MINOR</t>
  </si>
  <si>
    <t>Minor- Misc.</t>
  </si>
  <si>
    <t>Missed TA client</t>
  </si>
  <si>
    <t>Missing CLG File</t>
  </si>
  <si>
    <t>MJ DOE v. Devereux</t>
  </si>
  <si>
    <t>Monmouth County Juvenile</t>
  </si>
  <si>
    <t>Monsignor Bonner &amp; Archbishop Prendergast Catholic High School</t>
  </si>
  <si>
    <t>Montgomery County Youth Center</t>
  </si>
  <si>
    <t>Montgomery County Youth Correctional Facility</t>
  </si>
  <si>
    <t>Montgomery Youth Center</t>
  </si>
  <si>
    <t>Morris County Juvenile Detention Center</t>
  </si>
  <si>
    <t>Mt. Airy Playground Rec Center</t>
  </si>
  <si>
    <t>MUST BE FILED AS JOHN DOE</t>
  </si>
  <si>
    <t>mycase</t>
  </si>
  <si>
    <t>Nancy Sapp's Cousin</t>
  </si>
  <si>
    <t>Nancy Sapp's Sister</t>
  </si>
  <si>
    <t>Nancy Winkler at Eisenberg Rothweiler Referral</t>
  </si>
  <si>
    <t>Needs CDR</t>
  </si>
  <si>
    <t>New</t>
  </si>
  <si>
    <t>New Address 4184 Irish Highland Dr.</t>
  </si>
  <si>
    <t>New Jersey Training School</t>
  </si>
  <si>
    <t>New Jersey Training School for boys</t>
  </si>
  <si>
    <t>New Light Baptist</t>
  </si>
  <si>
    <t>Newark</t>
  </si>
  <si>
    <t>Newark Ar</t>
  </si>
  <si>
    <t>Newark Archdiocese</t>
  </si>
  <si>
    <t>Next Level Martial Arts</t>
  </si>
  <si>
    <t>NFL</t>
  </si>
  <si>
    <t>NJ</t>
  </si>
  <si>
    <t>NJ  Claim</t>
  </si>
  <si>
    <t>NJ - Non Catholic Church</t>
  </si>
  <si>
    <t>NJ 3rd Party</t>
  </si>
  <si>
    <t>NJ 3rd Party Case</t>
  </si>
  <si>
    <t>NJ 3rd Party minor</t>
  </si>
  <si>
    <t>NJ ADULT</t>
  </si>
  <si>
    <t>NJ Adult Case</t>
  </si>
  <si>
    <t>NJ Archdiocese</t>
  </si>
  <si>
    <t>NJ Baptist Church</t>
  </si>
  <si>
    <t>NJ Chuch</t>
  </si>
  <si>
    <t>NJ Church</t>
  </si>
  <si>
    <t>NJ Church Claim</t>
  </si>
  <si>
    <t>NJ Crossover</t>
  </si>
  <si>
    <t>NJ Crossover Case</t>
  </si>
  <si>
    <t>NJ crossover claim</t>
  </si>
  <si>
    <t>NJ- CSA/Medical Setting</t>
  </si>
  <si>
    <t>NJ CVA</t>
  </si>
  <si>
    <t>NJ Dentention Center</t>
  </si>
  <si>
    <t>NJ Detention Center</t>
  </si>
  <si>
    <t>NJ Doctor</t>
  </si>
  <si>
    <t>NJ Does Meet Criteria</t>
  </si>
  <si>
    <t>NJ Dr. Renner</t>
  </si>
  <si>
    <t>NJ DYFS</t>
  </si>
  <si>
    <t>NJ Episcopal Church</t>
  </si>
  <si>
    <t>NJ GENERAL (MINOR)</t>
  </si>
  <si>
    <t>NJ Juvenile Detention Center</t>
  </si>
  <si>
    <t>NJ Minor Abuse Claim</t>
  </si>
  <si>
    <t>NJ Minor claim</t>
  </si>
  <si>
    <t>NJ Minors</t>
  </si>
  <si>
    <t>NJ non-catholic church</t>
  </si>
  <si>
    <t>NJ Non-Program</t>
  </si>
  <si>
    <t>NJ Orthodox Church</t>
  </si>
  <si>
    <t>NJ Police Athletic League (PAL)</t>
  </si>
  <si>
    <t>NJ Religious Order</t>
  </si>
  <si>
    <t>NJ School</t>
  </si>
  <si>
    <t>NJ School Case</t>
  </si>
  <si>
    <t>NJ School Claim</t>
  </si>
  <si>
    <t>NJ Schools</t>
  </si>
  <si>
    <t>NJ Sex Abuse Case</t>
  </si>
  <si>
    <t>NJ Training School for Boys</t>
  </si>
  <si>
    <t>NJ Youth Advocate</t>
  </si>
  <si>
    <t>NJ-Doctor</t>
  </si>
  <si>
    <t>NJTS</t>
  </si>
  <si>
    <t>NO EMAIL-WIFE DOES NOT KNOW</t>
  </si>
  <si>
    <t>NO LONGER REPRESENT</t>
  </si>
  <si>
    <t>NO LONGER REPRESENT-HIRED NEW FIRM</t>
  </si>
  <si>
    <t>NO LONGER REPRESENTING</t>
  </si>
  <si>
    <t>NO MAIL-JUST EMAIL!!</t>
  </si>
  <si>
    <t>No medical treatment</t>
  </si>
  <si>
    <t>NO MEDICARE LIEN</t>
  </si>
  <si>
    <t>NO MEDICARE OR MEDICAID</t>
  </si>
  <si>
    <t>NO MORE LOANS</t>
  </si>
  <si>
    <t>NO MORE LOANS!</t>
  </si>
  <si>
    <t>No name - TD</t>
  </si>
  <si>
    <t>NO QD</t>
  </si>
  <si>
    <t>No retainer yet</t>
  </si>
  <si>
    <t>Noah Goodman</t>
  </si>
  <si>
    <t>Non- Clergy</t>
  </si>
  <si>
    <t>Non-Catholic</t>
  </si>
  <si>
    <t>Non-Catholic Religion</t>
  </si>
  <si>
    <t>NON-Clergy</t>
  </si>
  <si>
    <t>NON-Clergy - Newark</t>
  </si>
  <si>
    <t>Non-Client inquiry</t>
  </si>
  <si>
    <t>Non-minor claim</t>
  </si>
  <si>
    <t>Non-Program Case</t>
  </si>
  <si>
    <t>North Central Secure Treatment Unit</t>
  </si>
  <si>
    <t>North Central Secure Treatment Unit in PA.</t>
  </si>
  <si>
    <t>Northampton County Human Services</t>
  </si>
  <si>
    <t>Northeast Catholic High School</t>
  </si>
  <si>
    <t>Northwestern Academy</t>
  </si>
  <si>
    <t>Northwestern Academy PA</t>
  </si>
  <si>
    <t>NOT A MINOR- NOT ELIGIBLE</t>
  </si>
  <si>
    <t>NOT A MINOR- NOT ELIGIBLE FOR IVCP</t>
  </si>
  <si>
    <t>NOT BAP Eligible</t>
  </si>
  <si>
    <t>NOT ELIGIBLE</t>
  </si>
  <si>
    <t>NOT ELIGIBLE FOR NJ COMPENSATION PROGRAM</t>
  </si>
  <si>
    <t>Not Eligible For PA Program</t>
  </si>
  <si>
    <t>NOT ELIGIBLE FOR PHL PROGRAM</t>
  </si>
  <si>
    <t>NOT GOOD WITNESS</t>
  </si>
  <si>
    <t>Not in custody</t>
  </si>
  <si>
    <t>NOT PURSUING VQ CLAIM</t>
  </si>
  <si>
    <t>NOTE: Hearing impaired</t>
  </si>
  <si>
    <t>Notice - Eligible for Expanded BAP Exam</t>
  </si>
  <si>
    <t>Notice of Eligibility for Expanded BAP Exam</t>
  </si>
  <si>
    <t>Now DECEASED - TD</t>
  </si>
  <si>
    <t>Nun abuse- not priest</t>
  </si>
  <si>
    <t>NUN CASE</t>
  </si>
  <si>
    <t>Nursing Home NJ</t>
  </si>
  <si>
    <t>NY Case</t>
  </si>
  <si>
    <t>NY School Case</t>
  </si>
  <si>
    <t>Oasis Loan</t>
  </si>
  <si>
    <t>Oblates</t>
  </si>
  <si>
    <t>Ocean County Juv Detention Center</t>
  </si>
  <si>
    <t>Ocean residential JJC</t>
  </si>
  <si>
    <t>Ocean's Harbor House</t>
  </si>
  <si>
    <t>Offered Expanded BAP</t>
  </si>
  <si>
    <t>OFM</t>
  </si>
  <si>
    <t>on parole</t>
  </si>
  <si>
    <t>ONLY CALL CELL</t>
  </si>
  <si>
    <t>ONLY EMAIL!!! DO NOT MAIL DOCS TO HOME!!!</t>
  </si>
  <si>
    <t>ONLY SEND DOCS TO EMAIL!</t>
  </si>
  <si>
    <t>ONLY SEND DOCS TO EMAIL! NO MAIL!</t>
  </si>
  <si>
    <t>ONLY VAL TO CALL! SENSTIVE CLIENT</t>
  </si>
  <si>
    <t>Original BAP Exams Not Completed</t>
  </si>
  <si>
    <t>Out of SOL</t>
  </si>
  <si>
    <t>OUT OF SOL-GMS</t>
  </si>
  <si>
    <t>Over 30</t>
  </si>
  <si>
    <t>OVER 55</t>
  </si>
  <si>
    <t>OVER 55 y/o</t>
  </si>
  <si>
    <t>overlapping</t>
  </si>
  <si>
    <t>PA</t>
  </si>
  <si>
    <t>PA 3rd Party</t>
  </si>
  <si>
    <t>PA 3rd Party Case</t>
  </si>
  <si>
    <t>PA Archdiocese</t>
  </si>
  <si>
    <t>PA Case</t>
  </si>
  <si>
    <t>PA Child Support Lien</t>
  </si>
  <si>
    <t>PA Church</t>
  </si>
  <si>
    <t>PA Crossover</t>
  </si>
  <si>
    <t>PA Does Not Meet Criteria</t>
  </si>
  <si>
    <t>PA General Sex Abuse</t>
  </si>
  <si>
    <t>PA In Statute</t>
  </si>
  <si>
    <t>PA Juvenile Detention</t>
  </si>
  <si>
    <t>PA Not Retained</t>
  </si>
  <si>
    <t>PA rehab center</t>
  </si>
  <si>
    <t>PA School</t>
  </si>
  <si>
    <t>PA Window Case</t>
  </si>
  <si>
    <t>Palestinian Orthodox Church</t>
  </si>
  <si>
    <t>Paoli Hospital</t>
  </si>
  <si>
    <t>Paradise School for Boys</t>
  </si>
  <si>
    <t>Parkinson’s</t>
  </si>
  <si>
    <t>Passaic County Youth Detention Center</t>
  </si>
  <si>
    <t>Passed away</t>
  </si>
  <si>
    <t>Paterson</t>
  </si>
  <si>
    <t>Paterson BOE</t>
  </si>
  <si>
    <t>Paterson Diocese</t>
  </si>
  <si>
    <t>Patrick F. Healy Middle School or John L. Costley</t>
  </si>
  <si>
    <t>Patterson</t>
  </si>
  <si>
    <t>Paul D’Amato Referral</t>
  </si>
  <si>
    <t>Paul Lauricella Referral</t>
  </si>
  <si>
    <t>Paul Turkheimer Referral</t>
  </si>
  <si>
    <t>Pending information</t>
  </si>
  <si>
    <t>Penn Hills Senior High School</t>
  </si>
  <si>
    <t>Pennsylvania Juvenile Detention</t>
  </si>
  <si>
    <t>Pennsylvania Psychiatric Institute</t>
  </si>
  <si>
    <t>PERP CONVICTED</t>
  </si>
  <si>
    <t>Perp. + client Franco Iemmello</t>
  </si>
  <si>
    <t>Perp. + client Mike Robertazzi</t>
  </si>
  <si>
    <t>Peter Baron Referral</t>
  </si>
  <si>
    <t>Petrov Ballet School</t>
  </si>
  <si>
    <t>PFS submitted</t>
  </si>
  <si>
    <t>Phelps Private Boarding School</t>
  </si>
  <si>
    <t>Philadelphia Day Care</t>
  </si>
  <si>
    <t>Philadelphia Diocese</t>
  </si>
  <si>
    <t>Philadelphia Youth Study Center</t>
  </si>
  <si>
    <t>Philadlephia Archdiocese</t>
  </si>
  <si>
    <t>Physical &amp; Sexual Abuse</t>
  </si>
  <si>
    <t>PHYSICAL ONLY</t>
  </si>
  <si>
    <t>Physician</t>
  </si>
  <si>
    <t>Pittsburgh</t>
  </si>
  <si>
    <t>Pittsburgh Archdiocese</t>
  </si>
  <si>
    <t>Please Contact Letter Sent</t>
  </si>
  <si>
    <t>PNC</t>
  </si>
  <si>
    <t>Point Pleasant Borough High School</t>
  </si>
  <si>
    <t>Portersville Christian School</t>
  </si>
  <si>
    <t>Possibly sending to MAF</t>
  </si>
  <si>
    <t>POST PROGRAM DEADLINE</t>
  </si>
  <si>
    <t>Potential 3rd Party PI claim</t>
  </si>
  <si>
    <t>Potential son abuse</t>
  </si>
  <si>
    <t>PREFERS PHONE CALLS NOT EMAILS</t>
  </si>
  <si>
    <t>PREFERS TEXT MESSAGES</t>
  </si>
  <si>
    <t>Prefers to be called Vince</t>
  </si>
  <si>
    <t>Premonstratensian Order</t>
  </si>
  <si>
    <t>Religious Order</t>
  </si>
  <si>
    <t>Presbyterian Church</t>
  </si>
  <si>
    <t>Pre-settlement loan</t>
  </si>
  <si>
    <t>PRE-SETTLEMENT LOAN-Covered Bridge</t>
  </si>
  <si>
    <t>Pressley Ridge</t>
  </si>
  <si>
    <t>Priest Credibly Accused</t>
  </si>
  <si>
    <t>PRIOR INJURY-SAME BODY PART</t>
  </si>
  <si>
    <t>PRIOR TO CALLING – TEXT “I’M INTERESTED IN THE PROPERTY ON PALMER DRIVE”</t>
  </si>
  <si>
    <t>PRIORITY CASE</t>
  </si>
  <si>
    <t>Program suspended</t>
  </si>
  <si>
    <t>Public School</t>
  </si>
  <si>
    <t>QD 1.5</t>
  </si>
  <si>
    <t>QD LEVEL 1</t>
  </si>
  <si>
    <t>Questionnaire mailed 4/30</t>
  </si>
  <si>
    <t>Questionnaire mailed 5/10</t>
  </si>
  <si>
    <t>Questionnaire mailed 5/13</t>
  </si>
  <si>
    <t>Questionnaire mailed 5/6</t>
  </si>
  <si>
    <t>Questionnaire mailed 5/6.</t>
  </si>
  <si>
    <t>Questionnaire submitted 4/25</t>
  </si>
  <si>
    <t>Rachel Possinger Referral</t>
  </si>
  <si>
    <t>Ralph Brook's Brother</t>
  </si>
  <si>
    <t>Raynes &amp; Lawn Referral</t>
  </si>
  <si>
    <t>Rec'd Determination Letter</t>
  </si>
  <si>
    <t>Rec'd IRRP Determination Letter - Ineligible</t>
  </si>
  <si>
    <t>Received Determination Letter</t>
  </si>
  <si>
    <t>RECEIVES MEDICARE</t>
  </si>
  <si>
    <t>rec's Medicaid</t>
  </si>
  <si>
    <t>rec's Medicare</t>
  </si>
  <si>
    <t>Red Bank Middle School</t>
  </si>
  <si>
    <t>Ref: Chris Dore (edelson Firm)</t>
  </si>
  <si>
    <t>referral attorney</t>
  </si>
  <si>
    <t>Referral atty Phil Mattia Esq.</t>
  </si>
  <si>
    <t>referral from Bobby Moak Esq</t>
  </si>
  <si>
    <t>Referral from Eisenberg Rothweiler</t>
  </si>
  <si>
    <t>Referral from Marc Neff Esq.</t>
  </si>
  <si>
    <t>Referral from Rod Dellano</t>
  </si>
  <si>
    <t>Referral from Stacy Mogul Esq.</t>
  </si>
  <si>
    <t>Referred by Alberto Matos</t>
  </si>
  <si>
    <t>Referred by Francis Dzwoniarek</t>
  </si>
  <si>
    <t>Referred by Michael Canavan</t>
  </si>
  <si>
    <t>Referred by Raymond Marino</t>
  </si>
  <si>
    <t>Reg Deadline Passed-Ineligible</t>
  </si>
  <si>
    <t>REGISTERED</t>
  </si>
  <si>
    <t>Registering as a NJ Claim</t>
  </si>
  <si>
    <t>Rejected</t>
  </si>
  <si>
    <t>Rejection Letter</t>
  </si>
  <si>
    <t>Rejection letter sent</t>
  </si>
  <si>
    <t>Religious Order Priest</t>
  </si>
  <si>
    <t>Religous Order</t>
  </si>
  <si>
    <t>Removed from list</t>
  </si>
  <si>
    <t>Removed from portal</t>
  </si>
  <si>
    <t>Repeat Perp. E. Marcone</t>
  </si>
  <si>
    <t>Represented by another firm</t>
  </si>
  <si>
    <t>Residential Home: Arthur Brisbane Child Treatment Center</t>
  </si>
  <si>
    <t>Robins Kaplan Referral</t>
  </si>
  <si>
    <t>Rod Dellano Referral</t>
  </si>
  <si>
    <t>Ron Sherman Referral</t>
  </si>
  <si>
    <t>Roosevelt School No 7</t>
  </si>
  <si>
    <t>Royal Rangers</t>
  </si>
  <si>
    <t>S.M. (Marianists-Society of Mary)</t>
  </si>
  <si>
    <t>Saint Gabriel's hall</t>
  </si>
  <si>
    <t>St. Gabriel's Hall</t>
  </si>
  <si>
    <t>Saint Gabriel's System</t>
  </si>
  <si>
    <t>Salesians Don Bosco</t>
  </si>
  <si>
    <t>Salvation Army</t>
  </si>
  <si>
    <t>SAME ABUSER AS EMIL S.</t>
  </si>
  <si>
    <t>SAME ABUSER AS GERARD  STEFANELLI</t>
  </si>
  <si>
    <t>SAME ABUSER AS MICHAEL STRADFORD</t>
  </si>
  <si>
    <t>SAME PERP AS ISAACS &amp; F. CLARK</t>
  </si>
  <si>
    <t>Same perp as M. Isaacs</t>
  </si>
  <si>
    <t>Samuels Foster Home</t>
  </si>
  <si>
    <t>School Abuse Case</t>
  </si>
  <si>
    <t>School Case</t>
  </si>
  <si>
    <t>Scott Leonard Referral</t>
  </si>
  <si>
    <t>Scranton</t>
  </si>
  <si>
    <t>Scraton Diocese</t>
  </si>
  <si>
    <t>Sean Pena Referral</t>
  </si>
  <si>
    <t>secondary referral from Michael Crane Esq</t>
  </si>
  <si>
    <t>See Gregory Wilkerson File re. Investigation</t>
  </si>
  <si>
    <t>SEE VS NOTE 05/10</t>
  </si>
  <si>
    <t>Sent to Investigator</t>
  </si>
  <si>
    <t>Sent to PI</t>
  </si>
  <si>
    <t>SERIOUS CASE</t>
  </si>
  <si>
    <t>SETTLED</t>
  </si>
  <si>
    <t>Settled - Devereux</t>
  </si>
  <si>
    <t>SEX ABUSE-POTENTIAL</t>
  </si>
  <si>
    <t>SEXUAL</t>
  </si>
  <si>
    <t>Sexual abuse</t>
  </si>
  <si>
    <t>SEXUAL-POTENTIAL</t>
  </si>
  <si>
    <t>Shawn Phone #404-429-3996</t>
  </si>
  <si>
    <t>She/Her Pronouns</t>
  </si>
  <si>
    <t>Shuman Juvenile Detention Center</t>
  </si>
  <si>
    <t>SIGNED UP WITH ANOTHER LAW FIRM</t>
  </si>
  <si>
    <t>Silver &amp; Silver Referral</t>
  </si>
  <si>
    <t>Silver Springs Martin Luther King School</t>
  </si>
  <si>
    <t>Sister of Nancy Astin-Manno</t>
  </si>
  <si>
    <t>Skillman Juvenile Detention Center</t>
  </si>
  <si>
    <t>Slade McLaughlin referral</t>
  </si>
  <si>
    <t>Sleighton Farms School for Girls</t>
  </si>
  <si>
    <t>Social Services</t>
  </si>
  <si>
    <t>SOL Runs: 11/16/22</t>
  </si>
  <si>
    <t>Somerset County Rehab Center</t>
  </si>
  <si>
    <t>South Mountain Restoration Center</t>
  </si>
  <si>
    <t>Sports Team</t>
  </si>
  <si>
    <t>SSS</t>
  </si>
  <si>
    <t>SSS Handling BSA Claim</t>
  </si>
  <si>
    <t>SSS Referral</t>
  </si>
  <si>
    <t>SSS Referral - STG</t>
  </si>
  <si>
    <t>SSS Referral (Devereux)</t>
  </si>
  <si>
    <t>SSS/CLG Dual Rep</t>
  </si>
  <si>
    <t>st gabriels hall</t>
  </si>
  <si>
    <t>St Gabriel's Hall</t>
  </si>
  <si>
    <t>St Michael's School for Boys</t>
  </si>
  <si>
    <t>St. Gabes</t>
  </si>
  <si>
    <t>St. Gabe's</t>
  </si>
  <si>
    <t>St. Gabe's Hall</t>
  </si>
  <si>
    <t>St. gabriels</t>
  </si>
  <si>
    <t>St. Gabriels Hall</t>
  </si>
  <si>
    <t>St. Mary's Villa - TD</t>
  </si>
  <si>
    <t>St. Matthew's in the Woods</t>
  </si>
  <si>
    <t>St. Michael's Lutheran Church</t>
  </si>
  <si>
    <t>St. Michael's School for Boys</t>
  </si>
  <si>
    <t>St. Stephen School</t>
  </si>
  <si>
    <t>Star of Hope Mission</t>
  </si>
  <si>
    <t>Stark and Stark Referral</t>
  </si>
  <si>
    <t>Stephens Foster Home</t>
  </si>
  <si>
    <t>Stepping Stone Group Home NJ</t>
  </si>
  <si>
    <t>Steven Kupferberg Referral</t>
  </si>
  <si>
    <t>STG</t>
  </si>
  <si>
    <t>STG and VQ</t>
  </si>
  <si>
    <t>STG and VQ - TD</t>
  </si>
  <si>
    <t>STG IN SUIT</t>
  </si>
  <si>
    <t>STG TD</t>
  </si>
  <si>
    <t>STG- TD</t>
  </si>
  <si>
    <t>Stockpile</t>
  </si>
  <si>
    <t>STRONG CASE</t>
  </si>
  <si>
    <t>Suburban EMS</t>
  </si>
  <si>
    <t>Summit Academy</t>
  </si>
  <si>
    <t>Sussex County Correctional Facility</t>
  </si>
  <si>
    <t>Synagogue</t>
  </si>
  <si>
    <t>Tabs3</t>
  </si>
  <si>
    <t>Taxi Company</t>
  </si>
  <si>
    <t>TD</t>
  </si>
  <si>
    <t>TD - DEV</t>
  </si>
  <si>
    <t>TD - GM</t>
  </si>
  <si>
    <t>TD - GM and DEV</t>
  </si>
  <si>
    <t>TD - GM and VQ</t>
  </si>
  <si>
    <t>TD - STG</t>
  </si>
  <si>
    <t>TD - VQ</t>
  </si>
  <si>
    <t>TD - VQ and DEV</t>
  </si>
  <si>
    <t>TD - VQ and STG</t>
  </si>
  <si>
    <t>TD - Wordsworth</t>
  </si>
  <si>
    <t>TD- both STG and VQ</t>
  </si>
  <si>
    <t>TD only VQ and DEV</t>
  </si>
  <si>
    <t>TD per JWB</t>
  </si>
  <si>
    <t>TD VQ ONLY</t>
  </si>
  <si>
    <t>TD-NON COOPERATION</t>
  </si>
  <si>
    <t>TD-STG</t>
  </si>
  <si>
    <t>TD-STG ONLY</t>
  </si>
  <si>
    <t>TD-VisionQuest</t>
  </si>
  <si>
    <t>TD-VQ and GMS</t>
  </si>
  <si>
    <t>Teacher</t>
  </si>
  <si>
    <t>Technical College High School-Pickering Campus</t>
  </si>
  <si>
    <t>Texas</t>
  </si>
  <si>
    <t>Text/Call before sending mail</t>
  </si>
  <si>
    <t>The Female Secure Care and Intake Facility: Hayes Building</t>
  </si>
  <si>
    <t>The New Jersey Training School and the Highland School</t>
  </si>
  <si>
    <t>The Provincial Convent for Sister Of Good Shepherd</t>
  </si>
  <si>
    <t>The Summit Academy</t>
  </si>
  <si>
    <t>Therapy</t>
  </si>
  <si>
    <t>They/them/it</t>
  </si>
  <si>
    <t>THIS IS A DUP CONTACT</t>
  </si>
  <si>
    <t>Tioga County Child and Youth Services</t>
  </si>
  <si>
    <t>Todd Leonard Referral</t>
  </si>
  <si>
    <t>Toner Institute</t>
  </si>
  <si>
    <t>Treatment. See 5.1.19 note.</t>
  </si>
  <si>
    <t>Treatment. See 5.2.19 note.</t>
  </si>
  <si>
    <t>Treatment. See 5.3.19 note.</t>
  </si>
  <si>
    <t>Trenton</t>
  </si>
  <si>
    <t>Trenton Diocese</t>
  </si>
  <si>
    <t>Trinity United Methodist Church</t>
  </si>
  <si>
    <t>Turndown</t>
  </si>
  <si>
    <t>Twin Hills Elementary School</t>
  </si>
  <si>
    <t>Tyler Fox Referral</t>
  </si>
  <si>
    <t>U20</t>
  </si>
  <si>
    <t>UE</t>
  </si>
  <si>
    <t>Ukrainian Byzantine Catholic Church</t>
  </si>
  <si>
    <t>Uncooperative</t>
  </si>
  <si>
    <t>Under 20</t>
  </si>
  <si>
    <t>Under 30</t>
  </si>
  <si>
    <t>UNDER 55</t>
  </si>
  <si>
    <t>UNDER 55 y/o</t>
  </si>
  <si>
    <t>UNDER SOL for PHL Claim</t>
  </si>
  <si>
    <t>Union Baptist Church</t>
  </si>
  <si>
    <t>United Holy Church</t>
  </si>
  <si>
    <t>US Claims Loan</t>
  </si>
  <si>
    <t>USA Blues Clothing Store</t>
  </si>
  <si>
    <t>USE: waylonbrown89@hotmail.com</t>
  </si>
  <si>
    <t>Verified</t>
  </si>
  <si>
    <t>Vincentians</t>
  </si>
  <si>
    <t>Vision Quest</t>
  </si>
  <si>
    <t>Vision Quest (PHY only- out of Statute)</t>
  </si>
  <si>
    <t>Vision Quest (Texas)</t>
  </si>
  <si>
    <t>Vision Quest Philadelphia</t>
  </si>
  <si>
    <t>Visionquest</t>
  </si>
  <si>
    <t>VQ</t>
  </si>
  <si>
    <t>VQ - TD</t>
  </si>
  <si>
    <t>VQ Case- TD</t>
  </si>
  <si>
    <t>VQ CLAIM - TD FOR MIN ABUSE</t>
  </si>
  <si>
    <t>VQ Client</t>
  </si>
  <si>
    <t>VQ PHY ONLY</t>
  </si>
  <si>
    <t>VQ TD</t>
  </si>
  <si>
    <t>VQ-TD</t>
  </si>
  <si>
    <t>VS- SEE HR NOTES IF INELIGIBLE</t>
  </si>
  <si>
    <t>Wall High School</t>
  </si>
  <si>
    <t>Wall Township NJ</t>
  </si>
  <si>
    <t>West Essex Middle School</t>
  </si>
  <si>
    <t>West Philadelphia Promise Academy.</t>
  </si>
  <si>
    <t>West Washington United Methodist Church</t>
  </si>
  <si>
    <t>WIFE DOES NOT KNOW</t>
  </si>
  <si>
    <t>WIFE DOES NOT KNOW ABOUT ABUSE</t>
  </si>
  <si>
    <t>WIFE DOES NOT KNOW!!!</t>
  </si>
  <si>
    <t>Wiggs Foster Home</t>
  </si>
  <si>
    <t>Will get back to us - too much going on right now</t>
  </si>
  <si>
    <t>Within SOL</t>
  </si>
  <si>
    <t>Women's Christian Alliance</t>
  </si>
  <si>
    <t>Woodsworth Academy</t>
  </si>
  <si>
    <t>Wordsworth Academy</t>
  </si>
  <si>
    <t>YMCA</t>
  </si>
  <si>
    <t>Youth Forestry Camp</t>
  </si>
  <si>
    <t>Youth Forestry Camp #1</t>
  </si>
  <si>
    <t>Youth Forestry Camp #3</t>
  </si>
  <si>
    <t>Youth Services</t>
  </si>
  <si>
    <t>Youth Services Agency</t>
  </si>
  <si>
    <t>YWCA Day Camp</t>
  </si>
  <si>
    <t>Incident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</si>
</sst>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6109-5333-4E33-A905-0725D55696A6}">
  <sheetPr filterMode="1"/>
  <dimension ref="A1:C1006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ColWidth="9.140625" defaultRowHeight="15" x14ac:dyDescent="0.25"/>
  <cols>
    <col min="1" max="1" width="49.42578125" style="9" customWidth="1"/>
    <col min="2" max="2" width="29.140625" style="8" customWidth="1"/>
    <col min="3" max="3" width="33.42578125" style="8" bestFit="1" customWidth="1"/>
    <col min="4" max="7" width="29.140625" style="8" customWidth="1"/>
    <col min="8" max="16384" width="9.140625" style="8"/>
  </cols>
  <sheetData>
    <row r="1" spans="1:3" x14ac:dyDescent="0.25">
      <c r="A1" s="6" t="s">
        <v>0</v>
      </c>
      <c r="B1" s="7" t="s">
        <v>911</v>
      </c>
    </row>
    <row r="2" spans="1:3" customFormat="1" hidden="1" x14ac:dyDescent="0.25">
      <c r="A2" s="1" t="s">
        <v>1</v>
      </c>
      <c r="C2" t="str">
        <f>"('"&amp;A2&amp;"','"&amp;B2&amp;"'),"</f>
        <v>('. Continental Italian Restaurant',''),</v>
      </c>
    </row>
    <row r="3" spans="1:3" customFormat="1" hidden="1" x14ac:dyDescent="0.25">
      <c r="A3" s="2" t="s">
        <v>2</v>
      </c>
      <c r="C3" t="str">
        <f t="shared" ref="C3:C66" si="0">"('"&amp;A3&amp;"','"&amp;B3&amp;"'),"</f>
        <v>('@CLG IN SUIT',''),</v>
      </c>
    </row>
    <row r="4" spans="1:3" customFormat="1" hidden="1" x14ac:dyDescent="0.25">
      <c r="A4" s="2" t="s">
        <v>3</v>
      </c>
      <c r="C4" t="str">
        <f t="shared" si="0"/>
        <v>('@PRE-SETTLEMENT LOANS (2) re STG CLAIM',''),</v>
      </c>
    </row>
    <row r="5" spans="1:3" customFormat="1" hidden="1" x14ac:dyDescent="0.25">
      <c r="A5" s="2" t="s">
        <v>4</v>
      </c>
      <c r="C5" t="str">
        <f t="shared" si="0"/>
        <v>('1412 64th Ave.',''),</v>
      </c>
    </row>
    <row r="6" spans="1:3" customFormat="1" hidden="1" x14ac:dyDescent="0.25">
      <c r="A6" s="2" t="s">
        <v>5</v>
      </c>
      <c r="C6" t="str">
        <f t="shared" si="0"/>
        <v>('2nd loan via Legal Bay - Tribeca',''),</v>
      </c>
    </row>
    <row r="7" spans="1:3" customFormat="1" hidden="1" x14ac:dyDescent="0.25">
      <c r="A7" s="2" t="s">
        <v>6</v>
      </c>
      <c r="C7" t="str">
        <f t="shared" si="0"/>
        <v>('3rd Party Injury claim',''),</v>
      </c>
    </row>
    <row r="8" spans="1:3" customFormat="1" hidden="1" x14ac:dyDescent="0.25">
      <c r="A8" s="2" t="s">
        <v>7</v>
      </c>
      <c r="C8" t="str">
        <f t="shared" si="0"/>
        <v>('3rd Party Injury claim - lay person',''),</v>
      </c>
    </row>
    <row r="9" spans="1:3" customFormat="1" hidden="1" x14ac:dyDescent="0.25">
      <c r="A9" s="2" t="s">
        <v>8</v>
      </c>
      <c r="C9" t="str">
        <f t="shared" si="0"/>
        <v>('404',''),</v>
      </c>
    </row>
    <row r="10" spans="1:3" customFormat="1" hidden="1" x14ac:dyDescent="0.25">
      <c r="A10" s="2" t="s">
        <v>9</v>
      </c>
      <c r="C10" t="str">
        <f t="shared" si="0"/>
        <v>('45985.575',''),</v>
      </c>
    </row>
    <row r="11" spans="1:3" customFormat="1" hidden="1" x14ac:dyDescent="0.25">
      <c r="A11" s="2" t="s">
        <v>10</v>
      </c>
      <c r="C11" t="str">
        <f t="shared" si="0"/>
        <v>('4805 Warnock Street',''),</v>
      </c>
    </row>
    <row r="12" spans="1:3" customFormat="1" hidden="1" x14ac:dyDescent="0.25">
      <c r="A12" s="3" t="s">
        <v>11</v>
      </c>
      <c r="C12" t="str">
        <f t="shared" si="0"/>
        <v>('7th Day Adventist',''),</v>
      </c>
    </row>
    <row r="13" spans="1:3" customFormat="1" hidden="1" x14ac:dyDescent="0.25">
      <c r="A13" s="3" t="s">
        <v>11</v>
      </c>
      <c r="C13" t="str">
        <f t="shared" si="0"/>
        <v>('7th Day Adventist',''),</v>
      </c>
    </row>
    <row r="14" spans="1:3" customFormat="1" hidden="1" x14ac:dyDescent="0.25">
      <c r="A14" s="3" t="s">
        <v>12</v>
      </c>
      <c r="C14" t="str">
        <f t="shared" si="0"/>
        <v>('7th Day Adventist ',''),</v>
      </c>
    </row>
    <row r="15" spans="1:3" customFormat="1" hidden="1" x14ac:dyDescent="0.25">
      <c r="A15" s="3" t="s">
        <v>11</v>
      </c>
      <c r="C15" t="str">
        <f t="shared" si="0"/>
        <v>('7th Day Adventist',''),</v>
      </c>
    </row>
    <row r="16" spans="1:3" customFormat="1" hidden="1" x14ac:dyDescent="0.25">
      <c r="A16" s="3" t="s">
        <v>13</v>
      </c>
      <c r="C16" t="str">
        <f t="shared" si="0"/>
        <v>('Abraxas',''),</v>
      </c>
    </row>
    <row r="17" spans="1:3" customFormat="1" hidden="1" x14ac:dyDescent="0.25">
      <c r="A17" s="4" t="s">
        <v>13</v>
      </c>
      <c r="C17" t="str">
        <f t="shared" si="0"/>
        <v>('Abraxas',''),</v>
      </c>
    </row>
    <row r="18" spans="1:3" customFormat="1" hidden="1" x14ac:dyDescent="0.25">
      <c r="A18" s="4" t="s">
        <v>14</v>
      </c>
      <c r="C18" t="str">
        <f t="shared" si="0"/>
        <v>('Abraxas (handled by CLG)',''),</v>
      </c>
    </row>
    <row r="19" spans="1:3" customFormat="1" hidden="1" x14ac:dyDescent="0.25">
      <c r="A19" s="4" t="s">
        <v>14</v>
      </c>
      <c r="C19" t="str">
        <f t="shared" si="0"/>
        <v>('Abraxas (handled by CLG)',''),</v>
      </c>
    </row>
    <row r="20" spans="1:3" customFormat="1" hidden="1" x14ac:dyDescent="0.25">
      <c r="A20" s="4" t="s">
        <v>15</v>
      </c>
      <c r="C20" t="str">
        <f t="shared" si="0"/>
        <v>('Abraxas Academy',''),</v>
      </c>
    </row>
    <row r="21" spans="1:3" customFormat="1" hidden="1" x14ac:dyDescent="0.25">
      <c r="A21" s="4" t="s">
        <v>15</v>
      </c>
      <c r="C21" t="str">
        <f t="shared" si="0"/>
        <v>('Abraxas Academy',''),</v>
      </c>
    </row>
    <row r="22" spans="1:3" customFormat="1" hidden="1" x14ac:dyDescent="0.25">
      <c r="A22" s="4" t="s">
        <v>16</v>
      </c>
      <c r="C22" t="str">
        <f t="shared" si="0"/>
        <v>('Abraxas Youth and Family Services',''),</v>
      </c>
    </row>
    <row r="23" spans="1:3" customFormat="1" hidden="1" x14ac:dyDescent="0.25">
      <c r="A23" s="4" t="s">
        <v>16</v>
      </c>
      <c r="C23" t="str">
        <f t="shared" si="0"/>
        <v>('Abraxas Youth and Family Services',''),</v>
      </c>
    </row>
    <row r="24" spans="1:3" customFormat="1" hidden="1" x14ac:dyDescent="0.25">
      <c r="A24" s="4" t="s">
        <v>17</v>
      </c>
      <c r="C24" t="str">
        <f t="shared" si="0"/>
        <v>('Abraxas Youth Center',''),</v>
      </c>
    </row>
    <row r="25" spans="1:3" customFormat="1" hidden="1" x14ac:dyDescent="0.25">
      <c r="A25" s="4" t="s">
        <v>17</v>
      </c>
      <c r="C25" t="str">
        <f t="shared" si="0"/>
        <v>('Abraxas Youth Center',''),</v>
      </c>
    </row>
    <row r="26" spans="1:3" customFormat="1" hidden="1" x14ac:dyDescent="0.25">
      <c r="A26" s="4" t="s">
        <v>18</v>
      </c>
      <c r="C26" t="str">
        <f t="shared" si="0"/>
        <v>('Abraxus',''),</v>
      </c>
    </row>
    <row r="27" spans="1:3" customFormat="1" hidden="1" x14ac:dyDescent="0.25">
      <c r="A27" s="4" t="s">
        <v>18</v>
      </c>
      <c r="C27" t="str">
        <f t="shared" si="0"/>
        <v>('Abraxus',''),</v>
      </c>
    </row>
    <row r="28" spans="1:3" x14ac:dyDescent="0.25">
      <c r="A28" s="9" t="s">
        <v>19</v>
      </c>
      <c r="B28" s="8" t="s">
        <v>503</v>
      </c>
      <c r="C28" t="str">
        <f t="shared" si="0"/>
        <v>('Absued at NJ Shore','NJ'),</v>
      </c>
    </row>
    <row r="29" spans="1:3" customFormat="1" hidden="1" x14ac:dyDescent="0.25">
      <c r="A29" s="2" t="s">
        <v>20</v>
      </c>
      <c r="C29" t="str">
        <f t="shared" si="0"/>
        <v>('Abused 06/2019 - SOL 7 years',''),</v>
      </c>
    </row>
    <row r="30" spans="1:3" x14ac:dyDescent="0.25">
      <c r="A30" s="9" t="s">
        <v>21</v>
      </c>
      <c r="B30" s="8" t="s">
        <v>503</v>
      </c>
      <c r="C30" t="str">
        <f t="shared" si="0"/>
        <v>('Abused at NJ Shore','NJ'),</v>
      </c>
    </row>
    <row r="31" spans="1:3" customFormat="1" hidden="1" x14ac:dyDescent="0.25">
      <c r="A31" s="1" t="s">
        <v>22</v>
      </c>
      <c r="C31" t="str">
        <f t="shared" si="0"/>
        <v>('Abused by a brother',''),</v>
      </c>
    </row>
    <row r="32" spans="1:3" customFormat="1" hidden="1" x14ac:dyDescent="0.25">
      <c r="A32" s="1" t="s">
        <v>23</v>
      </c>
      <c r="C32" t="str">
        <f t="shared" si="0"/>
        <v>('ABUSED BY FR. GALDON',''),</v>
      </c>
    </row>
    <row r="33" spans="1:3" customFormat="1" hidden="1" x14ac:dyDescent="0.25">
      <c r="A33" s="1" t="s">
        <v>24</v>
      </c>
      <c r="C33" t="str">
        <f t="shared" si="0"/>
        <v>('Abused by gym teacher',''),</v>
      </c>
    </row>
    <row r="34" spans="1:3" customFormat="1" hidden="1" x14ac:dyDescent="0.25">
      <c r="A34" s="1" t="s">
        <v>25</v>
      </c>
      <c r="C34" t="str">
        <f t="shared" si="0"/>
        <v>('Abused by religious order priest',''),</v>
      </c>
    </row>
    <row r="35" spans="1:3" customFormat="1" hidden="1" x14ac:dyDescent="0.25">
      <c r="A35" s="1" t="s">
        <v>26</v>
      </c>
      <c r="C35" t="str">
        <f t="shared" si="0"/>
        <v>('Abused in NY',''),</v>
      </c>
    </row>
    <row r="36" spans="1:3" customFormat="1" hidden="1" x14ac:dyDescent="0.25">
      <c r="A36" s="1" t="s">
        <v>27</v>
      </c>
      <c r="C36" t="str">
        <f t="shared" si="0"/>
        <v>('ACCESS Chester Community Center',''),</v>
      </c>
    </row>
    <row r="37" spans="1:3" customFormat="1" hidden="1" x14ac:dyDescent="0.25">
      <c r="A37" s="1" t="s">
        <v>28</v>
      </c>
      <c r="C37" t="str">
        <f t="shared" si="0"/>
        <v>('Acclaim Rehabilitation and Care Center',''),</v>
      </c>
    </row>
    <row r="38" spans="1:3" customFormat="1" hidden="1" x14ac:dyDescent="0.25">
      <c r="A38" s="1" t="s">
        <v>29</v>
      </c>
      <c r="C38" t="str">
        <f t="shared" si="0"/>
        <v>('Act one in Wilkesbarre PA',''),</v>
      </c>
    </row>
    <row r="39" spans="1:3" customFormat="1" hidden="1" x14ac:dyDescent="0.25">
      <c r="A39" s="2" t="s">
        <v>30</v>
      </c>
      <c r="C39" t="str">
        <f t="shared" si="0"/>
        <v>('Adam Horowitz Referral',''),</v>
      </c>
    </row>
    <row r="40" spans="1:3" customFormat="1" hidden="1" x14ac:dyDescent="0.25">
      <c r="A40" s="1" t="s">
        <v>31</v>
      </c>
      <c r="C40" t="str">
        <f t="shared" si="0"/>
        <v>('Adelphi Quality Home',''),</v>
      </c>
    </row>
    <row r="41" spans="1:3" customFormat="1" hidden="1" x14ac:dyDescent="0.25">
      <c r="A41" s="1" t="s">
        <v>32</v>
      </c>
      <c r="C41" t="str">
        <f t="shared" si="0"/>
        <v>('Adelphi Village',''),</v>
      </c>
    </row>
    <row r="42" spans="1:3" customFormat="1" hidden="1" x14ac:dyDescent="0.25">
      <c r="A42" s="1" t="s">
        <v>33</v>
      </c>
      <c r="C42" t="str">
        <f t="shared" si="0"/>
        <v>('Adelphoi Village',''),</v>
      </c>
    </row>
    <row r="43" spans="1:3" customFormat="1" hidden="1" x14ac:dyDescent="0.25">
      <c r="A43" s="2" t="s">
        <v>34</v>
      </c>
      <c r="C43" t="str">
        <f t="shared" si="0"/>
        <v>('Adrian Moody Referral',''),</v>
      </c>
    </row>
    <row r="44" spans="1:3" customFormat="1" hidden="1" x14ac:dyDescent="0.25">
      <c r="A44" s="1" t="s">
        <v>35</v>
      </c>
      <c r="C44" t="str">
        <f t="shared" si="0"/>
        <v>('Adult Abuse Case',''),</v>
      </c>
    </row>
    <row r="45" spans="1:3" customFormat="1" hidden="1" x14ac:dyDescent="0.25">
      <c r="A45" s="1" t="s">
        <v>36</v>
      </c>
      <c r="C45" t="str">
        <f t="shared" si="0"/>
        <v>('Adult Case',''),</v>
      </c>
    </row>
    <row r="46" spans="1:3" customFormat="1" hidden="1" x14ac:dyDescent="0.25">
      <c r="A46" s="1" t="s">
        <v>37</v>
      </c>
      <c r="C46" t="str">
        <f t="shared" si="0"/>
        <v>('Adult Sexual Abuse',''),</v>
      </c>
    </row>
    <row r="47" spans="1:3" customFormat="1" hidden="1" x14ac:dyDescent="0.25">
      <c r="A47" s="2" t="s">
        <v>38</v>
      </c>
      <c r="C47" t="str">
        <f t="shared" si="0"/>
        <v>('Affidavit Only',''),</v>
      </c>
    </row>
    <row r="48" spans="1:3" customFormat="1" hidden="1" x14ac:dyDescent="0.25">
      <c r="A48" s="2" t="s">
        <v>39</v>
      </c>
      <c r="C48" t="str">
        <f t="shared" si="0"/>
        <v>('After rescoring - Level 1',''),</v>
      </c>
    </row>
    <row r="49" spans="1:3" customFormat="1" hidden="1" x14ac:dyDescent="0.25">
      <c r="A49" s="1" t="s">
        <v>40</v>
      </c>
      <c r="C49" t="str">
        <f t="shared" si="0"/>
        <v>('After TA Client',''),</v>
      </c>
    </row>
    <row r="50" spans="1:3" customFormat="1" hidden="1" x14ac:dyDescent="0.25">
      <c r="A50" s="2" t="s">
        <v>41</v>
      </c>
      <c r="C50" t="str">
        <f t="shared" si="0"/>
        <v>('AH Referral',''),</v>
      </c>
    </row>
    <row r="51" spans="1:3" customFormat="1" hidden="1" x14ac:dyDescent="0.25">
      <c r="A51" s="1" t="s">
        <v>42</v>
      </c>
      <c r="C51" t="str">
        <f t="shared" si="0"/>
        <v>('Allegany Dept of Human Services',''),</v>
      </c>
    </row>
    <row r="52" spans="1:3" customFormat="1" hidden="1" x14ac:dyDescent="0.25">
      <c r="A52" s="1" t="s">
        <v>43</v>
      </c>
      <c r="C52" t="str">
        <f t="shared" si="0"/>
        <v>('Allegheny Detention Center',''),</v>
      </c>
    </row>
    <row r="53" spans="1:3" customFormat="1" hidden="1" x14ac:dyDescent="0.25">
      <c r="A53" s="3" t="s">
        <v>44</v>
      </c>
      <c r="C53" t="str">
        <f t="shared" si="0"/>
        <v>('ALLENTOWN DIOCESE',''),</v>
      </c>
    </row>
    <row r="54" spans="1:3" customFormat="1" hidden="1" x14ac:dyDescent="0.25">
      <c r="A54" s="2" t="s">
        <v>45</v>
      </c>
      <c r="C54" t="str">
        <f t="shared" si="0"/>
        <v>('Also abused down in the shore in NJ',''),</v>
      </c>
    </row>
    <row r="55" spans="1:3" customFormat="1" hidden="1" x14ac:dyDescent="0.25">
      <c r="A55" s="2" t="s">
        <v>46</v>
      </c>
      <c r="C55" t="str">
        <f t="shared" si="0"/>
        <v>('Also has claim against boy scouts',''),</v>
      </c>
    </row>
    <row r="56" spans="1:3" customFormat="1" hidden="1" x14ac:dyDescent="0.25">
      <c r="A56" s="3" t="s">
        <v>47</v>
      </c>
      <c r="C56" t="str">
        <f t="shared" si="0"/>
        <v>('Altoona',''),</v>
      </c>
    </row>
    <row r="57" spans="1:3" customFormat="1" hidden="1" x14ac:dyDescent="0.25">
      <c r="A57" s="3" t="s">
        <v>48</v>
      </c>
      <c r="C57" t="str">
        <f t="shared" si="0"/>
        <v>('Altoona Johnstown Diocese',''),</v>
      </c>
    </row>
    <row r="58" spans="1:3" customFormat="1" hidden="1" x14ac:dyDescent="0.25">
      <c r="A58" s="3" t="s">
        <v>49</v>
      </c>
      <c r="C58" t="str">
        <f t="shared" si="0"/>
        <v>('Altoona-Johnston Diocese',''),</v>
      </c>
    </row>
    <row r="59" spans="1:3" customFormat="1" hidden="1" x14ac:dyDescent="0.25">
      <c r="A59" s="3" t="s">
        <v>50</v>
      </c>
      <c r="C59" t="str">
        <f t="shared" si="0"/>
        <v>('Anoopam Mission',''),</v>
      </c>
    </row>
    <row r="60" spans="1:3" customFormat="1" hidden="1" x14ac:dyDescent="0.25">
      <c r="A60" s="3" t="s">
        <v>51</v>
      </c>
      <c r="C60" t="str">
        <f t="shared" si="0"/>
        <v>('apostolic',''),</v>
      </c>
    </row>
    <row r="61" spans="1:3" customFormat="1" hidden="1" x14ac:dyDescent="0.25">
      <c r="A61" s="3" t="s">
        <v>52</v>
      </c>
      <c r="C61" t="str">
        <f t="shared" si="0"/>
        <v>('Archdiocese of Newark',''),</v>
      </c>
    </row>
    <row r="62" spans="1:3" customFormat="1" hidden="1" x14ac:dyDescent="0.25">
      <c r="A62" s="3" t="s">
        <v>52</v>
      </c>
      <c r="C62" t="str">
        <f t="shared" si="0"/>
        <v>('Archdiocese of Newark',''),</v>
      </c>
    </row>
    <row r="63" spans="1:3" customFormat="1" hidden="1" x14ac:dyDescent="0.25">
      <c r="A63" s="3" t="s">
        <v>53</v>
      </c>
      <c r="C63" t="str">
        <f t="shared" si="0"/>
        <v>('Archdiocese of Philadelphia',''),</v>
      </c>
    </row>
    <row r="64" spans="1:3" customFormat="1" hidden="1" x14ac:dyDescent="0.25">
      <c r="A64" s="3" t="s">
        <v>53</v>
      </c>
      <c r="C64" t="str">
        <f t="shared" si="0"/>
        <v>('Archdiocese of Philadelphia',''),</v>
      </c>
    </row>
    <row r="65" spans="1:3" customFormat="1" hidden="1" x14ac:dyDescent="0.25">
      <c r="A65" s="4" t="s">
        <v>55</v>
      </c>
      <c r="C65" t="str">
        <f t="shared" si="0"/>
        <v>('Arthur Brisbane Child Treatment Center',''),</v>
      </c>
    </row>
    <row r="66" spans="1:3" customFormat="1" hidden="1" x14ac:dyDescent="0.25">
      <c r="A66" s="1" t="s">
        <v>56</v>
      </c>
      <c r="C66" t="str">
        <f t="shared" si="0"/>
        <v>('Atlas Rehabilitation &amp; Healthcare at Daughters of Miriam',''),</v>
      </c>
    </row>
    <row r="67" spans="1:3" customFormat="1" hidden="1" x14ac:dyDescent="0.25">
      <c r="A67" s="2" t="s">
        <v>57</v>
      </c>
      <c r="C67" t="str">
        <f t="shared" ref="C67:C130" si="1">"('"&amp;A67&amp;"','"&amp;B67&amp;"'),"</f>
        <v>('B&amp;R Call In',''),</v>
      </c>
    </row>
    <row r="68" spans="1:3" customFormat="1" hidden="1" x14ac:dyDescent="0.25">
      <c r="A68" s="2" t="s">
        <v>58</v>
      </c>
      <c r="C68" t="str">
        <f t="shared" si="1"/>
        <v>('BAD WITNESS',''),</v>
      </c>
    </row>
    <row r="69" spans="1:3" customFormat="1" hidden="1" x14ac:dyDescent="0.25">
      <c r="A69" s="2" t="s">
        <v>59</v>
      </c>
      <c r="C69" t="str">
        <f t="shared" si="1"/>
        <v>('BAP',''),</v>
      </c>
    </row>
    <row r="70" spans="1:3" customFormat="1" hidden="1" x14ac:dyDescent="0.25">
      <c r="A70" s="2" t="s">
        <v>60</v>
      </c>
      <c r="C70" t="str">
        <f t="shared" si="1"/>
        <v>('BAP - NO QD',''),</v>
      </c>
    </row>
    <row r="71" spans="1:3" customFormat="1" hidden="1" x14ac:dyDescent="0.25">
      <c r="A71" s="2" t="s">
        <v>61</v>
      </c>
      <c r="C71" t="str">
        <f t="shared" si="1"/>
        <v>('BAP - QD LEVEL 1',''),</v>
      </c>
    </row>
    <row r="72" spans="1:3" customFormat="1" hidden="1" x14ac:dyDescent="0.25">
      <c r="A72" s="2" t="s">
        <v>62</v>
      </c>
      <c r="C72" t="str">
        <f t="shared" si="1"/>
        <v>('BAP before Advisory Board',''),</v>
      </c>
    </row>
    <row r="73" spans="1:3" customFormat="1" hidden="1" x14ac:dyDescent="0.25">
      <c r="A73" s="2" t="s">
        <v>63</v>
      </c>
      <c r="C73" t="str">
        <f t="shared" si="1"/>
        <v>('BAP Ineligible',''),</v>
      </c>
    </row>
    <row r="74" spans="1:3" customFormat="1" hidden="1" x14ac:dyDescent="0.25">
      <c r="A74" s="2" t="s">
        <v>64</v>
      </c>
      <c r="C74" t="str">
        <f t="shared" si="1"/>
        <v>('BAP Level 2',''),</v>
      </c>
    </row>
    <row r="75" spans="1:3" customFormat="1" hidden="1" x14ac:dyDescent="0.25">
      <c r="A75" s="2" t="s">
        <v>65</v>
      </c>
      <c r="C75" t="str">
        <f t="shared" si="1"/>
        <v>('BAP NO QD',''),</v>
      </c>
    </row>
    <row r="76" spans="1:3" customFormat="1" hidden="1" x14ac:dyDescent="0.25">
      <c r="A76" s="2" t="s">
        <v>66</v>
      </c>
      <c r="C76" t="str">
        <f t="shared" si="1"/>
        <v>('BAP UNFAVORABLE',''),</v>
      </c>
    </row>
    <row r="77" spans="1:3" customFormat="1" hidden="1" x14ac:dyDescent="0.25">
      <c r="A77" s="3" t="s">
        <v>67</v>
      </c>
      <c r="C77" t="str">
        <f t="shared" si="1"/>
        <v>('Baptist',''),</v>
      </c>
    </row>
    <row r="78" spans="1:3" customFormat="1" hidden="1" x14ac:dyDescent="0.25">
      <c r="A78" s="3" t="s">
        <v>67</v>
      </c>
      <c r="C78" t="str">
        <f t="shared" si="1"/>
        <v>('Baptist',''),</v>
      </c>
    </row>
    <row r="79" spans="1:3" customFormat="1" hidden="1" x14ac:dyDescent="0.25">
      <c r="A79" s="3" t="s">
        <v>67</v>
      </c>
      <c r="C79" t="str">
        <f t="shared" si="1"/>
        <v>('Baptist',''),</v>
      </c>
    </row>
    <row r="80" spans="1:3" customFormat="1" hidden="1" x14ac:dyDescent="0.25">
      <c r="A80" s="3" t="s">
        <v>67</v>
      </c>
      <c r="C80" t="str">
        <f t="shared" si="1"/>
        <v>('Baptist',''),</v>
      </c>
    </row>
    <row r="81" spans="1:3" customFormat="1" hidden="1" x14ac:dyDescent="0.25">
      <c r="A81" s="3" t="s">
        <v>68</v>
      </c>
      <c r="C81" t="str">
        <f t="shared" si="1"/>
        <v>('Baptist Church',''),</v>
      </c>
    </row>
    <row r="82" spans="1:3" customFormat="1" hidden="1" x14ac:dyDescent="0.25">
      <c r="A82" s="3" t="s">
        <v>68</v>
      </c>
      <c r="C82" t="str">
        <f t="shared" si="1"/>
        <v>('Baptist Church',''),</v>
      </c>
    </row>
    <row r="83" spans="1:3" customFormat="1" hidden="1" x14ac:dyDescent="0.25">
      <c r="A83" s="3" t="s">
        <v>68</v>
      </c>
      <c r="C83" t="str">
        <f t="shared" si="1"/>
        <v>('Baptist Church',''),</v>
      </c>
    </row>
    <row r="84" spans="1:3" customFormat="1" hidden="1" x14ac:dyDescent="0.25">
      <c r="A84" s="3" t="s">
        <v>68</v>
      </c>
      <c r="C84" t="str">
        <f t="shared" si="1"/>
        <v>('Baptist Church',''),</v>
      </c>
    </row>
    <row r="85" spans="1:3" customFormat="1" hidden="1" x14ac:dyDescent="0.25">
      <c r="A85" s="3" t="s">
        <v>69</v>
      </c>
      <c r="C85" t="str">
        <f t="shared" si="1"/>
        <v>('Barrington BOE',''),</v>
      </c>
    </row>
    <row r="86" spans="1:3" customFormat="1" hidden="1" x14ac:dyDescent="0.25">
      <c r="A86" s="2" t="s">
        <v>70</v>
      </c>
      <c r="C86" t="str">
        <f t="shared" si="1"/>
        <v>('Becky's Email: BBURKE@midwest-health.com',''),</v>
      </c>
    </row>
    <row r="87" spans="1:3" customFormat="1" hidden="1" x14ac:dyDescent="0.25">
      <c r="A87" s="1" t="s">
        <v>71</v>
      </c>
      <c r="C87" t="str">
        <f t="shared" si="1"/>
        <v>('Berkeley Terrace Elementary School',''),</v>
      </c>
    </row>
    <row r="88" spans="1:3" customFormat="1" hidden="1" x14ac:dyDescent="0.25">
      <c r="A88" s="2" t="s">
        <v>72</v>
      </c>
      <c r="C88" t="str">
        <f t="shared" si="1"/>
        <v>('Beth Baldinger Referral',''),</v>
      </c>
    </row>
    <row r="89" spans="1:3" customFormat="1" hidden="1" x14ac:dyDescent="0.25">
      <c r="A89" s="1" t="s">
        <v>73</v>
      </c>
      <c r="C89" t="str">
        <f t="shared" si="1"/>
        <v>('Bethany Assembly of God',''),</v>
      </c>
    </row>
    <row r="90" spans="1:3" customFormat="1" hidden="1" x14ac:dyDescent="0.25">
      <c r="A90" s="1" t="s">
        <v>74</v>
      </c>
      <c r="C90" t="str">
        <f t="shared" si="1"/>
        <v>('Bible Baptist Christian Academy',''),</v>
      </c>
    </row>
    <row r="91" spans="1:3" customFormat="1" hidden="1" x14ac:dyDescent="0.25">
      <c r="A91" s="3" t="s">
        <v>75</v>
      </c>
      <c r="C91" t="str">
        <f t="shared" si="1"/>
        <v>('Big Brother &amp; Big Sister',''),</v>
      </c>
    </row>
    <row r="92" spans="1:3" customFormat="1" hidden="1" x14ac:dyDescent="0.25">
      <c r="A92" s="3" t="s">
        <v>75</v>
      </c>
      <c r="C92" t="str">
        <f t="shared" si="1"/>
        <v>('Big Brother &amp; Big Sister',''),</v>
      </c>
    </row>
    <row r="93" spans="1:3" customFormat="1" hidden="1" x14ac:dyDescent="0.25">
      <c r="A93" s="3" t="s">
        <v>75</v>
      </c>
      <c r="C93" t="str">
        <f t="shared" si="1"/>
        <v>('Big Brother &amp; Big Sister',''),</v>
      </c>
    </row>
    <row r="94" spans="1:3" customFormat="1" hidden="1" x14ac:dyDescent="0.25">
      <c r="A94" s="3" t="s">
        <v>76</v>
      </c>
      <c r="C94" t="str">
        <f t="shared" si="1"/>
        <v>('Bishop Neumann High School',''),</v>
      </c>
    </row>
    <row r="95" spans="1:3" customFormat="1" hidden="1" x14ac:dyDescent="0.25">
      <c r="A95" s="3" t="s">
        <v>76</v>
      </c>
      <c r="C95" t="str">
        <f t="shared" si="1"/>
        <v>('Bishop Neumann High School',''),</v>
      </c>
    </row>
    <row r="96" spans="1:3" customFormat="1" hidden="1" x14ac:dyDescent="0.25">
      <c r="A96" s="2" t="s">
        <v>77</v>
      </c>
      <c r="C96" t="str">
        <f t="shared" si="1"/>
        <v>('Bobby Moak referral',''),</v>
      </c>
    </row>
    <row r="97" spans="1:3" customFormat="1" hidden="1" x14ac:dyDescent="0.25">
      <c r="A97" s="3" t="s">
        <v>78</v>
      </c>
      <c r="C97" t="str">
        <f t="shared" si="1"/>
        <v>('Boy Scouts',''),</v>
      </c>
    </row>
    <row r="98" spans="1:3" customFormat="1" hidden="1" x14ac:dyDescent="0.25">
      <c r="A98" s="3" t="s">
        <v>79</v>
      </c>
      <c r="C98" t="str">
        <f t="shared" si="1"/>
        <v>('Boys &amp; Girls Club (BGCA)',''),</v>
      </c>
    </row>
    <row r="99" spans="1:3" customFormat="1" hidden="1" x14ac:dyDescent="0.25">
      <c r="A99" s="3" t="s">
        <v>80</v>
      </c>
      <c r="C99" t="str">
        <f t="shared" si="1"/>
        <v>('Boys and Girls Club',''),</v>
      </c>
    </row>
    <row r="100" spans="1:3" customFormat="1" hidden="1" x14ac:dyDescent="0.25">
      <c r="A100" s="2" t="s">
        <v>81</v>
      </c>
      <c r="C100" t="str">
        <f t="shared" si="1"/>
        <v>('BR Call-In',''),</v>
      </c>
    </row>
    <row r="101" spans="1:3" customFormat="1" hidden="1" x14ac:dyDescent="0.25">
      <c r="A101" s="1" t="s">
        <v>82</v>
      </c>
      <c r="C101" t="str">
        <f t="shared" si="1"/>
        <v>('Brooke Glen Behavioral Hospital',''),</v>
      </c>
    </row>
    <row r="102" spans="1:3" customFormat="1" hidden="1" x14ac:dyDescent="0.25">
      <c r="A102" s="1" t="s">
        <v>83</v>
      </c>
      <c r="C102" t="str">
        <f t="shared" si="1"/>
        <v>('Brooklyn Diocse',''),</v>
      </c>
    </row>
    <row r="103" spans="1:3" customFormat="1" hidden="1" x14ac:dyDescent="0.25">
      <c r="A103" s="2" t="s">
        <v>84</v>
      </c>
      <c r="C103" t="str">
        <f t="shared" si="1"/>
        <v>('BROTHER DOES NOT KNOW ABOUT ABUSE!',''),</v>
      </c>
    </row>
    <row r="104" spans="1:3" customFormat="1" hidden="1" x14ac:dyDescent="0.25">
      <c r="A104" s="2" t="s">
        <v>85</v>
      </c>
      <c r="C104" t="str">
        <f t="shared" si="1"/>
        <v>('Brother- not program eligible',''),</v>
      </c>
    </row>
    <row r="105" spans="1:3" customFormat="1" hidden="1" x14ac:dyDescent="0.25">
      <c r="A105" s="2" t="s">
        <v>86</v>
      </c>
      <c r="C105" t="str">
        <f t="shared" si="1"/>
        <v>('Brother of Brian Dowd',''),</v>
      </c>
    </row>
    <row r="106" spans="1:3" customFormat="1" hidden="1" x14ac:dyDescent="0.25">
      <c r="A106" s="2" t="s">
        <v>87</v>
      </c>
      <c r="C106" t="str">
        <f t="shared" si="1"/>
        <v>('Brother of Chris Adams',''),</v>
      </c>
    </row>
    <row r="107" spans="1:3" customFormat="1" hidden="1" x14ac:dyDescent="0.25">
      <c r="A107" s="2" t="s">
        <v>88</v>
      </c>
      <c r="C107" t="str">
        <f t="shared" si="1"/>
        <v>('Brother of Craig Zappley',''),</v>
      </c>
    </row>
    <row r="108" spans="1:3" customFormat="1" hidden="1" x14ac:dyDescent="0.25">
      <c r="A108" s="2" t="s">
        <v>89</v>
      </c>
      <c r="C108" t="str">
        <f t="shared" si="1"/>
        <v>('Brother of Edwin Cintron',''),</v>
      </c>
    </row>
    <row r="109" spans="1:3" customFormat="1" hidden="1" x14ac:dyDescent="0.25">
      <c r="A109" s="2" t="s">
        <v>90</v>
      </c>
      <c r="C109" t="str">
        <f t="shared" si="1"/>
        <v>('Brother of Kevin O'Connor Dowd Sr.'s Estate',''),</v>
      </c>
    </row>
    <row r="110" spans="1:3" customFormat="1" hidden="1" x14ac:dyDescent="0.25">
      <c r="A110" s="2" t="s">
        <v>91</v>
      </c>
      <c r="C110" t="str">
        <f t="shared" si="1"/>
        <v>('Brother of Michael Gonzales',''),</v>
      </c>
    </row>
    <row r="111" spans="1:3" customFormat="1" hidden="1" x14ac:dyDescent="0.25">
      <c r="A111" s="2" t="s">
        <v>92</v>
      </c>
      <c r="C111" t="str">
        <f t="shared" si="1"/>
        <v>('brother of Michael Iossa',''),</v>
      </c>
    </row>
    <row r="112" spans="1:3" customFormat="1" hidden="1" x14ac:dyDescent="0.25">
      <c r="A112" s="2" t="s">
        <v>93</v>
      </c>
      <c r="C112" t="str">
        <f t="shared" si="1"/>
        <v>('BROTHER of MICHAEL ZAPPLEY',''),</v>
      </c>
    </row>
    <row r="113" spans="1:3" customFormat="1" hidden="1" x14ac:dyDescent="0.25">
      <c r="A113" s="2" t="s">
        <v>94</v>
      </c>
      <c r="C113" t="str">
        <f t="shared" si="1"/>
        <v>('Brother of Nelson Cintron',''),</v>
      </c>
    </row>
    <row r="114" spans="1:3" customFormat="1" hidden="1" x14ac:dyDescent="0.25">
      <c r="A114" s="2" t="s">
        <v>95</v>
      </c>
      <c r="C114" t="str">
        <f t="shared" si="1"/>
        <v>('Brother to Josephine Baylis',''),</v>
      </c>
    </row>
    <row r="115" spans="1:3" customFormat="1" hidden="1" x14ac:dyDescent="0.25">
      <c r="A115" s="3" t="s">
        <v>96</v>
      </c>
      <c r="C115" t="str">
        <f t="shared" si="1"/>
        <v>('BSA Claim',''),</v>
      </c>
    </row>
    <row r="116" spans="1:3" customFormat="1" hidden="1" x14ac:dyDescent="0.25">
      <c r="A116" s="3" t="s">
        <v>97</v>
      </c>
      <c r="C116" t="str">
        <f t="shared" si="1"/>
        <v>('Burlington County Juvenile Detention Center',''),</v>
      </c>
    </row>
    <row r="117" spans="1:3" customFormat="1" hidden="1" x14ac:dyDescent="0.25">
      <c r="A117" s="1" t="s">
        <v>98</v>
      </c>
      <c r="C117" t="str">
        <f t="shared" si="1"/>
        <v>('Byberry State Hospital',''),</v>
      </c>
    </row>
    <row r="118" spans="1:3" customFormat="1" hidden="1" x14ac:dyDescent="0.25">
      <c r="A118" s="1" t="s">
        <v>99</v>
      </c>
      <c r="C118" t="str">
        <f t="shared" si="1"/>
        <v>('BYDC- Bensalem Youth Detention Center',''),</v>
      </c>
    </row>
    <row r="119" spans="1:3" customFormat="1" hidden="1" x14ac:dyDescent="0.25">
      <c r="A119" s="2" t="s">
        <v>100</v>
      </c>
      <c r="C119" t="str">
        <f t="shared" si="1"/>
        <v>('Bypassing CDR - BAP',''),</v>
      </c>
    </row>
    <row r="120" spans="1:3" customFormat="1" hidden="1" x14ac:dyDescent="0.25">
      <c r="A120" s="1" t="s">
        <v>101</v>
      </c>
      <c r="C120" t="str">
        <f t="shared" si="1"/>
        <v>('Byzantine - Eparchy of Passaic abuse',''),</v>
      </c>
    </row>
    <row r="121" spans="1:3" customFormat="1" hidden="1" x14ac:dyDescent="0.25">
      <c r="A121" s="1" t="s">
        <v>102</v>
      </c>
      <c r="C121" t="str">
        <f t="shared" si="1"/>
        <v>('California Devereux',''),</v>
      </c>
    </row>
    <row r="122" spans="1:3" customFormat="1" hidden="1" x14ac:dyDescent="0.25">
      <c r="A122" s="2" t="s">
        <v>103</v>
      </c>
      <c r="C122" t="str">
        <f t="shared" si="1"/>
        <v>('CALL CELL',''),</v>
      </c>
    </row>
    <row r="123" spans="1:3" customFormat="1" hidden="1" x14ac:dyDescent="0.25">
      <c r="A123" s="2" t="s">
        <v>104</v>
      </c>
      <c r="C123" t="str">
        <f t="shared" si="1"/>
        <v>('Call Code Word: FINRA regarding C.A.T.',''),</v>
      </c>
    </row>
    <row r="124" spans="1:3" customFormat="1" hidden="1" x14ac:dyDescent="0.25">
      <c r="A124" s="2" t="s">
        <v>105</v>
      </c>
      <c r="C124" t="str">
        <f t="shared" si="1"/>
        <v>('call house phone first',''),</v>
      </c>
    </row>
    <row r="125" spans="1:3" customFormat="1" hidden="1" x14ac:dyDescent="0.25">
      <c r="A125" s="2" t="s">
        <v>106</v>
      </c>
      <c r="C125" t="str">
        <f t="shared" si="1"/>
        <v>('CALL/TEXT!! NO EMAIL.',''),</v>
      </c>
    </row>
    <row r="126" spans="1:3" customFormat="1" hidden="1" x14ac:dyDescent="0.25">
      <c r="A126" s="4" t="s">
        <v>107</v>
      </c>
      <c r="C126" t="str">
        <f t="shared" si="1"/>
        <v>('Camden',''),</v>
      </c>
    </row>
    <row r="127" spans="1:3" customFormat="1" hidden="1" x14ac:dyDescent="0.25">
      <c r="A127" s="4" t="s">
        <v>107</v>
      </c>
      <c r="C127" t="str">
        <f t="shared" si="1"/>
        <v>('Camden',''),</v>
      </c>
    </row>
    <row r="128" spans="1:3" customFormat="1" hidden="1" x14ac:dyDescent="0.25">
      <c r="A128" s="4" t="s">
        <v>108</v>
      </c>
      <c r="C128" t="str">
        <f t="shared" si="1"/>
        <v>('Camden County Juvenile Detention Center',''),</v>
      </c>
    </row>
    <row r="129" spans="1:3" customFormat="1" hidden="1" x14ac:dyDescent="0.25">
      <c r="A129" s="4" t="s">
        <v>109</v>
      </c>
      <c r="C129" t="str">
        <f t="shared" si="1"/>
        <v>('Camden Diocese',''),</v>
      </c>
    </row>
    <row r="130" spans="1:3" customFormat="1" hidden="1" x14ac:dyDescent="0.25">
      <c r="A130" s="4" t="s">
        <v>109</v>
      </c>
      <c r="C130" t="str">
        <f t="shared" si="1"/>
        <v>('Camden Diocese',''),</v>
      </c>
    </row>
    <row r="131" spans="1:3" customFormat="1" hidden="1" x14ac:dyDescent="0.25">
      <c r="A131" s="1" t="s">
        <v>110</v>
      </c>
      <c r="C131" t="str">
        <f t="shared" ref="C131:C194" si="2">"('"&amp;A131&amp;"','"&amp;B131&amp;"'),"</f>
        <v>('Camp Gan Israel Poconos',''),</v>
      </c>
    </row>
    <row r="132" spans="1:3" customFormat="1" hidden="1" x14ac:dyDescent="0.25">
      <c r="A132" s="3" t="s">
        <v>111</v>
      </c>
      <c r="C132" t="str">
        <f t="shared" si="2"/>
        <v>('Camp Lejeune',''),</v>
      </c>
    </row>
    <row r="133" spans="1:3" customFormat="1" hidden="1" x14ac:dyDescent="0.25">
      <c r="A133" s="2" t="s">
        <v>112</v>
      </c>
      <c r="C133" t="str">
        <f t="shared" si="2"/>
        <v>('CAN ANGER EASILY',''),</v>
      </c>
    </row>
    <row r="134" spans="1:3" customFormat="1" hidden="1" x14ac:dyDescent="0.25">
      <c r="A134" s="2" t="s">
        <v>113</v>
      </c>
      <c r="C134" t="str">
        <f t="shared" si="2"/>
        <v>('Carmen DeGisi Referral',''),</v>
      </c>
    </row>
    <row r="135" spans="1:3" customFormat="1" hidden="1" x14ac:dyDescent="0.25">
      <c r="A135" s="1" t="s">
        <v>114</v>
      </c>
      <c r="C135" t="str">
        <f t="shared" si="2"/>
        <v>('Catholic School',''),</v>
      </c>
    </row>
    <row r="136" spans="1:3" customFormat="1" hidden="1" x14ac:dyDescent="0.25">
      <c r="A136" s="1" t="s">
        <v>115</v>
      </c>
      <c r="C136" t="str">
        <f t="shared" si="2"/>
        <v>('Catholic Social Services of Philadelphia',''),</v>
      </c>
    </row>
    <row r="137" spans="1:3" customFormat="1" hidden="1" x14ac:dyDescent="0.25">
      <c r="A137" s="1" t="s">
        <v>116</v>
      </c>
      <c r="C137" t="str">
        <f t="shared" si="2"/>
        <v>('Catholic University',''),</v>
      </c>
    </row>
    <row r="138" spans="1:3" customFormat="1" hidden="1" x14ac:dyDescent="0.25">
      <c r="A138" s="2" t="s">
        <v>117</v>
      </c>
      <c r="C138" t="str">
        <f t="shared" si="2"/>
        <v>('CCIU Eligible',''),</v>
      </c>
    </row>
    <row r="139" spans="1:3" customFormat="1" hidden="1" x14ac:dyDescent="0.25">
      <c r="A139" s="2" t="s">
        <v>118</v>
      </c>
      <c r="C139" t="str">
        <f t="shared" si="2"/>
        <v>('CDR COMPLETE',''),</v>
      </c>
    </row>
    <row r="140" spans="1:3" customFormat="1" hidden="1" x14ac:dyDescent="0.25">
      <c r="A140" s="1" t="s">
        <v>119</v>
      </c>
      <c r="C140" t="str">
        <f t="shared" si="2"/>
        <v>('Cedar Brook Detention',''),</v>
      </c>
    </row>
    <row r="141" spans="1:3" customFormat="1" hidden="1" x14ac:dyDescent="0.25">
      <c r="A141" s="1" t="s">
        <v>120</v>
      </c>
      <c r="C141" t="str">
        <f t="shared" si="2"/>
        <v>('Central Elementary School',''),</v>
      </c>
    </row>
    <row r="142" spans="1:3" customFormat="1" hidden="1" x14ac:dyDescent="0.25">
      <c r="A142" s="3" t="s">
        <v>121</v>
      </c>
      <c r="C142" t="str">
        <f t="shared" si="2"/>
        <v>('Chartwell Manor',''),</v>
      </c>
    </row>
    <row r="143" spans="1:3" customFormat="1" hidden="1" x14ac:dyDescent="0.25">
      <c r="A143" s="2" t="s">
        <v>122</v>
      </c>
      <c r="C143" t="str">
        <f t="shared" si="2"/>
        <v>('Child Support Lien',''),</v>
      </c>
    </row>
    <row r="144" spans="1:3" customFormat="1" hidden="1" x14ac:dyDescent="0.25">
      <c r="A144" s="1" t="s">
        <v>123</v>
      </c>
      <c r="C144" t="str">
        <f t="shared" si="2"/>
        <v>('Children Of The Future Daycare Inc',''),</v>
      </c>
    </row>
    <row r="145" spans="1:3" s="5" customFormat="1" hidden="1" x14ac:dyDescent="0.25">
      <c r="A145" s="1" t="s">
        <v>124</v>
      </c>
      <c r="C145" t="str">
        <f t="shared" si="2"/>
        <v>('Children's Home of Easton',''),</v>
      </c>
    </row>
    <row r="146" spans="1:3" s="5" customFormat="1" hidden="1" x14ac:dyDescent="0.25">
      <c r="A146" s="1" t="s">
        <v>125</v>
      </c>
      <c r="C146" t="str">
        <f t="shared" si="2"/>
        <v>('Children's home of York-Tindall House',''),</v>
      </c>
    </row>
    <row r="147" spans="1:3" customFormat="1" hidden="1" x14ac:dyDescent="0.25">
      <c r="A147" s="1" t="s">
        <v>126</v>
      </c>
      <c r="C147" t="str">
        <f t="shared" si="2"/>
        <v>('Children's Services',''),</v>
      </c>
    </row>
    <row r="148" spans="1:3" customFormat="1" hidden="1" x14ac:dyDescent="0.25">
      <c r="A148" s="1" t="s">
        <v>127</v>
      </c>
      <c r="C148" t="str">
        <f t="shared" si="2"/>
        <v>('Christian Home of Johnstown',''),</v>
      </c>
    </row>
    <row r="149" spans="1:3" customFormat="1" hidden="1" x14ac:dyDescent="0.25">
      <c r="A149" s="1" t="s">
        <v>128</v>
      </c>
      <c r="C149" t="str">
        <f t="shared" si="2"/>
        <v>('CHURCH',''),</v>
      </c>
    </row>
    <row r="150" spans="1:3" customFormat="1" hidden="1" x14ac:dyDescent="0.25">
      <c r="A150" s="1" t="s">
        <v>129</v>
      </c>
      <c r="C150" t="str">
        <f t="shared" si="2"/>
        <v>('Church of the Lord Jesus Christ  Apostolic Faith',''),</v>
      </c>
    </row>
    <row r="151" spans="1:3" customFormat="1" hidden="1" x14ac:dyDescent="0.25">
      <c r="A151" s="2" t="s">
        <v>130</v>
      </c>
      <c r="C151" t="str">
        <f t="shared" si="2"/>
        <v>('Claim form received',''),</v>
      </c>
    </row>
    <row r="152" spans="1:3" customFormat="1" hidden="1" x14ac:dyDescent="0.25">
      <c r="A152" s="2" t="s">
        <v>131</v>
      </c>
      <c r="C152" t="str">
        <f t="shared" si="2"/>
        <v>('Claim Form Submitted',''),</v>
      </c>
    </row>
    <row r="153" spans="1:3" customFormat="1" hidden="1" x14ac:dyDescent="0.25">
      <c r="A153" s="2" t="s">
        <v>132</v>
      </c>
      <c r="C153" t="str">
        <f t="shared" si="2"/>
        <v>('Claim forms received',''),</v>
      </c>
    </row>
    <row r="154" spans="1:3" customFormat="1" hidden="1" x14ac:dyDescent="0.25">
      <c r="A154" s="2" t="s">
        <v>133</v>
      </c>
      <c r="C154" t="str">
        <f t="shared" si="2"/>
        <v>('Claim from received',''),</v>
      </c>
    </row>
    <row r="155" spans="1:3" customFormat="1" hidden="1" x14ac:dyDescent="0.25">
      <c r="A155" s="2" t="s">
        <v>134</v>
      </c>
      <c r="C155" t="str">
        <f t="shared" si="2"/>
        <v>('Claim registerd',''),</v>
      </c>
    </row>
    <row r="156" spans="1:3" customFormat="1" hidden="1" x14ac:dyDescent="0.25">
      <c r="A156" s="2" t="s">
        <v>135</v>
      </c>
      <c r="C156" t="str">
        <f t="shared" si="2"/>
        <v>('Claim registerd 5/10/19',''),</v>
      </c>
    </row>
    <row r="157" spans="1:3" customFormat="1" hidden="1" x14ac:dyDescent="0.25">
      <c r="A157" s="2" t="s">
        <v>136</v>
      </c>
      <c r="C157" t="str">
        <f t="shared" si="2"/>
        <v>('Claim registered',''),</v>
      </c>
    </row>
    <row r="158" spans="1:3" customFormat="1" hidden="1" x14ac:dyDescent="0.25">
      <c r="A158" s="2" t="s">
        <v>137</v>
      </c>
      <c r="C158" t="str">
        <f t="shared" si="2"/>
        <v>('Claim registered 5/3/19',''),</v>
      </c>
    </row>
    <row r="159" spans="1:3" customFormat="1" hidden="1" x14ac:dyDescent="0.25">
      <c r="A159" s="2" t="s">
        <v>138</v>
      </c>
      <c r="C159" t="str">
        <f t="shared" si="2"/>
        <v>('Claim registered.',''),</v>
      </c>
    </row>
    <row r="160" spans="1:3" customFormat="1" hidden="1" x14ac:dyDescent="0.25">
      <c r="A160" s="2" t="s">
        <v>139</v>
      </c>
      <c r="C160" t="str">
        <f t="shared" si="2"/>
        <v>('Claim regsitered',''),</v>
      </c>
    </row>
    <row r="161" spans="1:3" customFormat="1" hidden="1" x14ac:dyDescent="0.25">
      <c r="A161" s="2" t="s">
        <v>140</v>
      </c>
      <c r="C161" t="str">
        <f t="shared" si="2"/>
        <v>('Claim submitted',''),</v>
      </c>
    </row>
    <row r="162" spans="1:3" customFormat="1" hidden="1" x14ac:dyDescent="0.25">
      <c r="A162" s="2" t="s">
        <v>141</v>
      </c>
      <c r="C162" t="str">
        <f t="shared" si="2"/>
        <v>('CLG',''),</v>
      </c>
    </row>
    <row r="163" spans="1:3" customFormat="1" hidden="1" x14ac:dyDescent="0.25">
      <c r="A163" s="2" t="s">
        <v>142</v>
      </c>
      <c r="C163" t="str">
        <f t="shared" si="2"/>
        <v>('CLG ONLY - IN SUIT',''),</v>
      </c>
    </row>
    <row r="164" spans="1:3" customFormat="1" hidden="1" x14ac:dyDescent="0.25">
      <c r="A164" s="2" t="s">
        <v>143</v>
      </c>
      <c r="C164" t="str">
        <f t="shared" si="2"/>
        <v>('CLG Referral',''),</v>
      </c>
    </row>
    <row r="165" spans="1:3" customFormat="1" hidden="1" x14ac:dyDescent="0.25">
      <c r="A165" s="2" t="s">
        <v>144</v>
      </c>
      <c r="C165" t="str">
        <f t="shared" si="2"/>
        <v>('CLG Referral - VQ',''),</v>
      </c>
    </row>
    <row r="166" spans="1:3" customFormat="1" hidden="1" x14ac:dyDescent="0.25">
      <c r="A166" s="2" t="s">
        <v>145</v>
      </c>
      <c r="C166" t="str">
        <f t="shared" si="2"/>
        <v>('Client',''),</v>
      </c>
    </row>
    <row r="167" spans="1:3" customFormat="1" ht="30" hidden="1" x14ac:dyDescent="0.25">
      <c r="A167" s="2" t="s">
        <v>146</v>
      </c>
      <c r="C167" t="str">
        <f t="shared" si="2"/>
        <v>('client ask to receive an email or writing that her identity will be confidential and will not be posted publicly before filing her case',''),</v>
      </c>
    </row>
    <row r="168" spans="1:3" customFormat="1" ht="30" hidden="1" x14ac:dyDescent="0.25">
      <c r="A168" s="2" t="s">
        <v>147</v>
      </c>
      <c r="C168" t="str">
        <f t="shared" si="2"/>
        <v>('CLIENT DECLARED BANKRUPTCY- NEED TO CONTACT TRUSTEE WHEN SETTLEMENT',''),</v>
      </c>
    </row>
    <row r="169" spans="1:3" customFormat="1" hidden="1" x14ac:dyDescent="0.25">
      <c r="A169" s="2" t="s">
        <v>148</v>
      </c>
      <c r="C169" t="str">
        <f t="shared" si="2"/>
        <v>('CLIENT IS DECEASED- CALL MOTHER!',''),</v>
      </c>
    </row>
    <row r="170" spans="1:3" customFormat="1" hidden="1" x14ac:dyDescent="0.25">
      <c r="A170" s="2" t="s">
        <v>149</v>
      </c>
      <c r="C170" t="str">
        <f t="shared" si="2"/>
        <v>('Client Referral - Nicholas Somers',''),</v>
      </c>
    </row>
    <row r="171" spans="1:3" customFormat="1" hidden="1" x14ac:dyDescent="0.25">
      <c r="A171" s="2" t="s">
        <v>150</v>
      </c>
      <c r="C171" t="str">
        <f t="shared" si="2"/>
        <v>('Client wants to speak with Marty before filing anything.',''),</v>
      </c>
    </row>
    <row r="172" spans="1:3" customFormat="1" hidden="1" x14ac:dyDescent="0.25">
      <c r="A172" s="2" t="s">
        <v>151</v>
      </c>
      <c r="C172" t="str">
        <f t="shared" si="2"/>
        <v>('Client Yvette James' sister',''),</v>
      </c>
    </row>
    <row r="173" spans="1:3" customFormat="1" hidden="1" x14ac:dyDescent="0.25">
      <c r="A173" s="1" t="s">
        <v>152</v>
      </c>
      <c r="C173" t="str">
        <f t="shared" si="2"/>
        <v>('Coach',''),</v>
      </c>
    </row>
    <row r="174" spans="1:3" customFormat="1" hidden="1" x14ac:dyDescent="0.25">
      <c r="A174" s="1" t="s">
        <v>153</v>
      </c>
      <c r="C174" t="str">
        <f t="shared" si="2"/>
        <v>('Coatesville Methodist Church',''),</v>
      </c>
    </row>
    <row r="175" spans="1:3" customFormat="1" hidden="1" x14ac:dyDescent="0.25">
      <c r="A175" s="1" t="s">
        <v>154</v>
      </c>
      <c r="C175" t="str">
        <f t="shared" si="2"/>
        <v>('Colorado Devereux',''),</v>
      </c>
    </row>
    <row r="176" spans="1:3" customFormat="1" hidden="1" x14ac:dyDescent="0.25">
      <c r="A176" s="1" t="s">
        <v>155</v>
      </c>
      <c r="C176" t="str">
        <f t="shared" si="2"/>
        <v>('Columbia County Dept. of Youth Services',''),</v>
      </c>
    </row>
    <row r="177" spans="1:3" customFormat="1" hidden="1" x14ac:dyDescent="0.25">
      <c r="A177" s="1" t="s">
        <v>156</v>
      </c>
      <c r="C177" t="str">
        <f t="shared" si="2"/>
        <v>('CONTACT VIA EMAIL',''),</v>
      </c>
    </row>
    <row r="178" spans="1:3" customFormat="1" hidden="1" x14ac:dyDescent="0.25">
      <c r="A178" s="1" t="s">
        <v>157</v>
      </c>
      <c r="C178" t="str">
        <f t="shared" si="2"/>
        <v>('Contacted after program end date',''),</v>
      </c>
    </row>
    <row r="179" spans="1:3" customFormat="1" hidden="1" x14ac:dyDescent="0.25">
      <c r="A179" s="1" t="s">
        <v>158</v>
      </c>
      <c r="C179" t="str">
        <f t="shared" si="2"/>
        <v>('Convicted of 3rd Degree Murder',''),</v>
      </c>
    </row>
    <row r="180" spans="1:3" customFormat="1" hidden="1" x14ac:dyDescent="0.25">
      <c r="A180" s="1" t="s">
        <v>159</v>
      </c>
      <c r="C180" t="str">
        <f t="shared" si="2"/>
        <v>('Cousin Tonya Johnson Companion Case',''),</v>
      </c>
    </row>
    <row r="181" spans="1:3" customFormat="1" hidden="1" x14ac:dyDescent="0.25">
      <c r="A181" s="1" t="s">
        <v>160</v>
      </c>
      <c r="C181" t="str">
        <f t="shared" si="2"/>
        <v>('Covered Bridge Loan',''),</v>
      </c>
    </row>
    <row r="182" spans="1:3" customFormat="1" hidden="1" x14ac:dyDescent="0.25">
      <c r="A182" s="3" t="s">
        <v>161</v>
      </c>
      <c r="C182" t="str">
        <f t="shared" si="2"/>
        <v>('CPAP',''),</v>
      </c>
    </row>
    <row r="183" spans="1:3" customFormat="1" hidden="1" x14ac:dyDescent="0.25">
      <c r="A183" s="1" t="s">
        <v>162</v>
      </c>
      <c r="C183" t="str">
        <f t="shared" si="2"/>
        <v>('CPAP ALSO',''),</v>
      </c>
    </row>
    <row r="184" spans="1:3" customFormat="1" hidden="1" x14ac:dyDescent="0.25">
      <c r="A184" s="1" t="s">
        <v>163</v>
      </c>
      <c r="C184" t="str">
        <f t="shared" si="2"/>
        <v>('CPM - L -000485-21',''),</v>
      </c>
    </row>
    <row r="185" spans="1:3" customFormat="1" hidden="1" x14ac:dyDescent="0.25">
      <c r="A185" s="1" t="s">
        <v>164</v>
      </c>
      <c r="C185" t="str">
        <f t="shared" si="2"/>
        <v>('Crestwood Services',''),</v>
      </c>
    </row>
    <row r="186" spans="1:3" customFormat="1" hidden="1" x14ac:dyDescent="0.25">
      <c r="A186" s="1" t="s">
        <v>165</v>
      </c>
      <c r="C186" t="str">
        <f t="shared" si="2"/>
        <v>('CROSSOVER',''),</v>
      </c>
    </row>
    <row r="187" spans="1:3" x14ac:dyDescent="0.25">
      <c r="A187" s="9" t="s">
        <v>166</v>
      </c>
      <c r="B187" s="8" t="s">
        <v>503</v>
      </c>
      <c r="C187" t="str">
        <f t="shared" si="2"/>
        <v>('Crossover NJ','NJ'),</v>
      </c>
    </row>
    <row r="188" spans="1:3" customFormat="1" hidden="1" x14ac:dyDescent="0.25">
      <c r="A188" s="1" t="s">
        <v>167</v>
      </c>
      <c r="C188" t="str">
        <f t="shared" si="2"/>
        <v>('Crossover NY',''),</v>
      </c>
    </row>
    <row r="189" spans="1:3" x14ac:dyDescent="0.25">
      <c r="A189" s="9" t="s">
        <v>168</v>
      </c>
      <c r="B189" s="8" t="s">
        <v>503</v>
      </c>
      <c r="C189" t="str">
        <f t="shared" si="2"/>
        <v>('CSA- NJ Church','NJ'),</v>
      </c>
    </row>
    <row r="190" spans="1:3" customFormat="1" hidden="1" x14ac:dyDescent="0.25">
      <c r="A190" s="1" t="s">
        <v>169</v>
      </c>
      <c r="C190" t="str">
        <f t="shared" si="2"/>
        <v>('CSA-PA',''),</v>
      </c>
    </row>
    <row r="191" spans="1:3" customFormat="1" hidden="1" x14ac:dyDescent="0.25">
      <c r="A191" s="1" t="s">
        <v>170</v>
      </c>
      <c r="C191" t="str">
        <f t="shared" si="2"/>
        <v>('CT Devereux',''),</v>
      </c>
    </row>
    <row r="192" spans="1:3" customFormat="1" hidden="1" x14ac:dyDescent="0.25">
      <c r="A192" s="3" t="s">
        <v>171</v>
      </c>
      <c r="C192" t="str">
        <f t="shared" si="2"/>
        <v>('Cumberland County Juvenile Center',''),</v>
      </c>
    </row>
    <row r="193" spans="1:3" customFormat="1" hidden="1" x14ac:dyDescent="0.25">
      <c r="A193" s="1" t="s">
        <v>172</v>
      </c>
      <c r="C193" t="str">
        <f t="shared" si="2"/>
        <v>('D Requested Recs',''),</v>
      </c>
    </row>
    <row r="194" spans="1:3" customFormat="1" hidden="1" x14ac:dyDescent="0.25">
      <c r="A194" s="1" t="s">
        <v>173</v>
      </c>
      <c r="C194" t="str">
        <f t="shared" si="2"/>
        <v>('Daniel Rice',''),</v>
      </c>
    </row>
    <row r="195" spans="1:3" customFormat="1" hidden="1" x14ac:dyDescent="0.25">
      <c r="A195" s="1" t="s">
        <v>174</v>
      </c>
      <c r="C195" t="str">
        <f t="shared" ref="C195:C258" si="3">"('"&amp;A195&amp;"','"&amp;B195&amp;"'),"</f>
        <v>('Dansville Treatment Unit',''),</v>
      </c>
    </row>
    <row r="196" spans="1:3" customFormat="1" hidden="1" x14ac:dyDescent="0.25">
      <c r="A196" s="1" t="s">
        <v>175</v>
      </c>
      <c r="C196" t="str">
        <f t="shared" si="3"/>
        <v>('Danville Center for Adolescent Females',''),</v>
      </c>
    </row>
    <row r="197" spans="1:3" customFormat="1" hidden="1" x14ac:dyDescent="0.25">
      <c r="A197" s="1" t="s">
        <v>176</v>
      </c>
      <c r="C197" t="str">
        <f t="shared" si="3"/>
        <v>('Danville State Psychiatric Hospital',''),</v>
      </c>
    </row>
    <row r="198" spans="1:3" customFormat="1" hidden="1" x14ac:dyDescent="0.25">
      <c r="A198" s="1" t="s">
        <v>177</v>
      </c>
      <c r="C198" t="str">
        <f t="shared" si="3"/>
        <v>('DD+GM',''),</v>
      </c>
    </row>
    <row r="199" spans="1:3" customFormat="1" hidden="1" x14ac:dyDescent="0.25">
      <c r="A199" s="1" t="s">
        <v>178</v>
      </c>
      <c r="C199" t="str">
        <f t="shared" si="3"/>
        <v>('De Llano referral',''),</v>
      </c>
    </row>
    <row r="200" spans="1:3" customFormat="1" hidden="1" x14ac:dyDescent="0.25">
      <c r="A200" s="1" t="s">
        <v>179</v>
      </c>
      <c r="C200" t="str">
        <f t="shared" si="3"/>
        <v>('Deceased',''),</v>
      </c>
    </row>
    <row r="201" spans="1:3" customFormat="1" hidden="1" x14ac:dyDescent="0.25">
      <c r="A201" s="1" t="s">
        <v>180</v>
      </c>
      <c r="C201" t="str">
        <f t="shared" si="3"/>
        <v>('Deceased from COVID',''),</v>
      </c>
    </row>
    <row r="202" spans="1:3" customFormat="1" hidden="1" x14ac:dyDescent="0.25">
      <c r="A202" s="1" t="s">
        <v>181</v>
      </c>
      <c r="C202" t="str">
        <f t="shared" si="3"/>
        <v>('Declined IVCP Offer',''),</v>
      </c>
    </row>
    <row r="203" spans="1:3" customFormat="1" hidden="1" x14ac:dyDescent="0.25">
      <c r="A203" s="1" t="s">
        <v>182</v>
      </c>
      <c r="C203" t="str">
        <f t="shared" si="3"/>
        <v>('Delaware PA Detention',''),</v>
      </c>
    </row>
    <row r="204" spans="1:3" customFormat="1" hidden="1" x14ac:dyDescent="0.25">
      <c r="A204" s="3" t="s">
        <v>183</v>
      </c>
      <c r="C204" t="str">
        <f t="shared" si="3"/>
        <v>('Delbarton School Case',''),</v>
      </c>
    </row>
    <row r="205" spans="1:3" customFormat="1" hidden="1" x14ac:dyDescent="0.25">
      <c r="A205" s="1" t="s">
        <v>184</v>
      </c>
      <c r="C205" t="str">
        <f t="shared" si="3"/>
        <v>('Dept of Children's Services',''),</v>
      </c>
    </row>
    <row r="206" spans="1:3" customFormat="1" hidden="1" x14ac:dyDescent="0.25">
      <c r="A206" s="1" t="s">
        <v>185</v>
      </c>
      <c r="C206" t="str">
        <f t="shared" si="3"/>
        <v>('Dept. Of Children's Services',''),</v>
      </c>
    </row>
    <row r="207" spans="1:3" customFormat="1" hidden="1" x14ac:dyDescent="0.25">
      <c r="A207" s="1" t="s">
        <v>186</v>
      </c>
      <c r="C207" t="str">
        <f t="shared" si="3"/>
        <v>('Dept. of Human Services',''),</v>
      </c>
    </row>
    <row r="208" spans="1:3" customFormat="1" hidden="1" x14ac:dyDescent="0.25">
      <c r="A208" s="1" t="s">
        <v>187</v>
      </c>
      <c r="C208" t="str">
        <f t="shared" si="3"/>
        <v>('DEV - TD',''),</v>
      </c>
    </row>
    <row r="209" spans="1:3" customFormat="1" hidden="1" x14ac:dyDescent="0.25">
      <c r="A209" s="4" t="s">
        <v>188</v>
      </c>
      <c r="C209" t="str">
        <f t="shared" si="3"/>
        <v>('Devereux',''),</v>
      </c>
    </row>
    <row r="210" spans="1:3" customFormat="1" hidden="1" x14ac:dyDescent="0.25">
      <c r="A210" s="4" t="s">
        <v>189</v>
      </c>
      <c r="C210" t="str">
        <f t="shared" si="3"/>
        <v>('Devereux - CT',''),</v>
      </c>
    </row>
    <row r="211" spans="1:3" customFormat="1" hidden="1" x14ac:dyDescent="0.25">
      <c r="A211" s="4" t="s">
        <v>190</v>
      </c>
      <c r="C211" t="str">
        <f t="shared" si="3"/>
        <v>('Devereux Brandywine',''),</v>
      </c>
    </row>
    <row r="212" spans="1:3" customFormat="1" hidden="1" x14ac:dyDescent="0.25">
      <c r="A212" s="4" t="s">
        <v>191</v>
      </c>
      <c r="C212" t="str">
        <f t="shared" si="3"/>
        <v>('Devereux School Abuse',''),</v>
      </c>
    </row>
    <row r="213" spans="1:3" customFormat="1" hidden="1" x14ac:dyDescent="0.25">
      <c r="A213" s="4" t="s">
        <v>192</v>
      </c>
      <c r="C213" t="str">
        <f t="shared" si="3"/>
        <v>('Deveruex',''),</v>
      </c>
    </row>
    <row r="214" spans="1:3" s="5" customFormat="1" hidden="1" x14ac:dyDescent="0.25">
      <c r="A214" s="4" t="s">
        <v>188</v>
      </c>
      <c r="C214" t="str">
        <f t="shared" si="3"/>
        <v>('Devereux',''),</v>
      </c>
    </row>
    <row r="215" spans="1:3" s="5" customFormat="1" hidden="1" x14ac:dyDescent="0.25">
      <c r="A215" s="4" t="s">
        <v>189</v>
      </c>
      <c r="C215" t="str">
        <f t="shared" si="3"/>
        <v>('Devereux - CT',''),</v>
      </c>
    </row>
    <row r="216" spans="1:3" s="5" customFormat="1" hidden="1" x14ac:dyDescent="0.25">
      <c r="A216" s="4" t="s">
        <v>190</v>
      </c>
      <c r="C216" t="str">
        <f t="shared" si="3"/>
        <v>('Devereux Brandywine',''),</v>
      </c>
    </row>
    <row r="217" spans="1:3" s="5" customFormat="1" hidden="1" x14ac:dyDescent="0.25">
      <c r="A217" s="4" t="s">
        <v>191</v>
      </c>
      <c r="C217" t="str">
        <f t="shared" si="3"/>
        <v>('Devereux School Abuse',''),</v>
      </c>
    </row>
    <row r="218" spans="1:3" s="5" customFormat="1" hidden="1" x14ac:dyDescent="0.25">
      <c r="A218" s="4" t="s">
        <v>192</v>
      </c>
      <c r="C218" t="str">
        <f t="shared" si="3"/>
        <v>('Deveruex',''),</v>
      </c>
    </row>
    <row r="219" spans="1:3" customFormat="1" hidden="1" x14ac:dyDescent="0.25">
      <c r="A219" s="1" t="s">
        <v>193</v>
      </c>
      <c r="C219" t="str">
        <f t="shared" si="3"/>
        <v>('DHS Case',''),</v>
      </c>
    </row>
    <row r="220" spans="1:3" customFormat="1" hidden="1" x14ac:dyDescent="0.25">
      <c r="A220" s="3" t="s">
        <v>194</v>
      </c>
      <c r="C220" t="str">
        <f t="shared" si="3"/>
        <v>('Diocese of Camden',''),</v>
      </c>
    </row>
    <row r="221" spans="1:3" customFormat="1" hidden="1" x14ac:dyDescent="0.25">
      <c r="A221" s="3" t="s">
        <v>194</v>
      </c>
      <c r="C221" t="str">
        <f t="shared" si="3"/>
        <v>('Diocese of Camden',''),</v>
      </c>
    </row>
    <row r="222" spans="1:3" customFormat="1" hidden="1" x14ac:dyDescent="0.25">
      <c r="A222" s="3" t="s">
        <v>195</v>
      </c>
      <c r="C222" t="str">
        <f t="shared" si="3"/>
        <v>('Diocese of Greenburg',''),</v>
      </c>
    </row>
    <row r="223" spans="1:3" customFormat="1" hidden="1" x14ac:dyDescent="0.25">
      <c r="A223" s="3" t="s">
        <v>195</v>
      </c>
      <c r="C223" t="str">
        <f t="shared" si="3"/>
        <v>('Diocese of Greenburg',''),</v>
      </c>
    </row>
    <row r="224" spans="1:3" customFormat="1" hidden="1" x14ac:dyDescent="0.25">
      <c r="A224" s="3" t="s">
        <v>196</v>
      </c>
      <c r="C224" t="str">
        <f t="shared" si="3"/>
        <v>('Diocese of Metuchen',''),</v>
      </c>
    </row>
    <row r="225" spans="1:3" customFormat="1" hidden="1" x14ac:dyDescent="0.25">
      <c r="A225" s="3" t="s">
        <v>196</v>
      </c>
      <c r="C225" t="str">
        <f t="shared" si="3"/>
        <v>('Diocese of Metuchen',''),</v>
      </c>
    </row>
    <row r="226" spans="1:3" customFormat="1" hidden="1" x14ac:dyDescent="0.25">
      <c r="A226" s="3" t="s">
        <v>197</v>
      </c>
      <c r="C226" t="str">
        <f t="shared" si="3"/>
        <v>('Diocese of Paterson',''),</v>
      </c>
    </row>
    <row r="227" spans="1:3" customFormat="1" hidden="1" x14ac:dyDescent="0.25">
      <c r="A227" s="3" t="s">
        <v>197</v>
      </c>
      <c r="C227" t="str">
        <f t="shared" si="3"/>
        <v>('Diocese of Paterson',''),</v>
      </c>
    </row>
    <row r="228" spans="1:3" customFormat="1" hidden="1" x14ac:dyDescent="0.25">
      <c r="A228" s="3" t="s">
        <v>198</v>
      </c>
      <c r="C228" t="str">
        <f t="shared" si="3"/>
        <v>('Diocese of Pittsburgh',''),</v>
      </c>
    </row>
    <row r="229" spans="1:3" customFormat="1" hidden="1" x14ac:dyDescent="0.25">
      <c r="A229" s="3" t="s">
        <v>198</v>
      </c>
      <c r="C229" t="str">
        <f t="shared" si="3"/>
        <v>('Diocese of Pittsburgh',''),</v>
      </c>
    </row>
    <row r="230" spans="1:3" customFormat="1" hidden="1" x14ac:dyDescent="0.25">
      <c r="A230" s="3" t="s">
        <v>200</v>
      </c>
      <c r="C230" t="str">
        <f t="shared" si="3"/>
        <v>('Diocese of Scranton',''),</v>
      </c>
    </row>
    <row r="231" spans="1:3" customFormat="1" hidden="1" x14ac:dyDescent="0.25">
      <c r="A231" s="3" t="s">
        <v>200</v>
      </c>
      <c r="C231" t="str">
        <f t="shared" si="3"/>
        <v>('Diocese of Scranton',''),</v>
      </c>
    </row>
    <row r="232" spans="1:3" customFormat="1" hidden="1" x14ac:dyDescent="0.25">
      <c r="A232" s="3" t="s">
        <v>202</v>
      </c>
      <c r="C232" t="str">
        <f t="shared" si="3"/>
        <v>('Diocese of Trenton',''),</v>
      </c>
    </row>
    <row r="233" spans="1:3" customFormat="1" hidden="1" x14ac:dyDescent="0.25">
      <c r="A233" s="3" t="s">
        <v>202</v>
      </c>
      <c r="C233" t="str">
        <f t="shared" si="3"/>
        <v>('Diocese of Trenton',''),</v>
      </c>
    </row>
    <row r="234" spans="1:3" customFormat="1" hidden="1" x14ac:dyDescent="0.25">
      <c r="A234" s="1" t="s">
        <v>203</v>
      </c>
      <c r="C234" t="str">
        <f t="shared" si="3"/>
        <v>('Diocese of Wilmington',''),</v>
      </c>
    </row>
    <row r="235" spans="1:3" customFormat="1" hidden="1" x14ac:dyDescent="0.25">
      <c r="A235" s="1" t="s">
        <v>204</v>
      </c>
      <c r="C235" t="str">
        <f t="shared" si="3"/>
        <v>('Discrimination',''),</v>
      </c>
    </row>
    <row r="236" spans="1:3" customFormat="1" hidden="1" x14ac:dyDescent="0.25">
      <c r="A236" s="1" t="s">
        <v>205</v>
      </c>
      <c r="C236" t="str">
        <f t="shared" si="3"/>
        <v>('DO NOT CALL BEFORE TEXTING',''),</v>
      </c>
    </row>
    <row r="237" spans="1:3" customFormat="1" hidden="1" x14ac:dyDescent="0.25">
      <c r="A237" s="1" t="s">
        <v>206</v>
      </c>
      <c r="C237" t="str">
        <f t="shared" si="3"/>
        <v>('DO NOT REP',''),</v>
      </c>
    </row>
    <row r="238" spans="1:3" customFormat="1" hidden="1" x14ac:dyDescent="0.25">
      <c r="A238" s="1" t="s">
        <v>207</v>
      </c>
      <c r="C238" t="str">
        <f t="shared" si="3"/>
        <v>('DO NOT REP/HIRED ANOTHER FIRM',''),</v>
      </c>
    </row>
    <row r="239" spans="1:3" customFormat="1" hidden="1" x14ac:dyDescent="0.25">
      <c r="A239" s="1" t="s">
        <v>208</v>
      </c>
      <c r="C239" t="str">
        <f t="shared" si="3"/>
        <v>('DO NOT REPRESENT',''),</v>
      </c>
    </row>
    <row r="240" spans="1:3" customFormat="1" hidden="1" x14ac:dyDescent="0.25">
      <c r="A240" s="1" t="s">
        <v>209</v>
      </c>
      <c r="C240" t="str">
        <f t="shared" si="3"/>
        <v>('DO NOT SEND ANY MAIL!!',''),</v>
      </c>
    </row>
    <row r="241" spans="1:3" customFormat="1" hidden="1" x14ac:dyDescent="0.25">
      <c r="A241" s="1" t="s">
        <v>210</v>
      </c>
      <c r="C241" t="str">
        <f t="shared" si="3"/>
        <v>('Do not send anything via mail. ONLY EMAIL.',''),</v>
      </c>
    </row>
    <row r="242" spans="1:3" customFormat="1" hidden="1" x14ac:dyDescent="0.25">
      <c r="A242" s="1" t="s">
        <v>211</v>
      </c>
      <c r="C242" t="str">
        <f t="shared" si="3"/>
        <v>('DO NOT SEND COPY OF FINALIZED CLAIM FORM',''),</v>
      </c>
    </row>
    <row r="243" spans="1:3" customFormat="1" hidden="1" x14ac:dyDescent="0.25">
      <c r="A243" s="1" t="s">
        <v>212</v>
      </c>
      <c r="C243" t="str">
        <f t="shared" si="3"/>
        <v>('DO NOT SEND EMAIL!',''),</v>
      </c>
    </row>
    <row r="244" spans="1:3" customFormat="1" hidden="1" x14ac:dyDescent="0.25">
      <c r="A244" s="1" t="s">
        <v>213</v>
      </c>
      <c r="C244" t="str">
        <f t="shared" si="3"/>
        <v>('DO NOT SEND MAIL TO HOUSE',''),</v>
      </c>
    </row>
    <row r="245" spans="1:3" customFormat="1" hidden="1" x14ac:dyDescent="0.25">
      <c r="A245" s="1" t="s">
        <v>214</v>
      </c>
      <c r="C245" t="str">
        <f t="shared" si="3"/>
        <v>('DO NOT SPEAK WITH HUSBAND',''),</v>
      </c>
    </row>
    <row r="246" spans="1:3" customFormat="1" hidden="1" x14ac:dyDescent="0.25">
      <c r="A246" s="1" t="s">
        <v>215</v>
      </c>
      <c r="C246" t="str">
        <f t="shared" si="3"/>
        <v>('DO NOT USE THIS HR PROFILE- ALSO HAS STG PROFILE',''),</v>
      </c>
    </row>
    <row r="247" spans="1:3" customFormat="1" hidden="1" x14ac:dyDescent="0.25">
      <c r="A247" s="1" t="s">
        <v>216</v>
      </c>
      <c r="C247" t="str">
        <f t="shared" si="3"/>
        <v>('DO NOT USE THIS HR PROFILE-DUPLICATE',''),</v>
      </c>
    </row>
    <row r="248" spans="1:3" customFormat="1" hidden="1" x14ac:dyDescent="0.25">
      <c r="A248" s="3" t="s">
        <v>217</v>
      </c>
      <c r="C248" t="str">
        <f t="shared" si="3"/>
        <v>('Doctor Case',''),</v>
      </c>
    </row>
    <row r="249" spans="1:3" customFormat="1" hidden="1" x14ac:dyDescent="0.25">
      <c r="A249" s="3" t="s">
        <v>217</v>
      </c>
      <c r="C249" t="str">
        <f t="shared" si="3"/>
        <v>('Doctor Case',''),</v>
      </c>
    </row>
    <row r="250" spans="1:3" customFormat="1" hidden="1" x14ac:dyDescent="0.25">
      <c r="A250" s="1" t="s">
        <v>218</v>
      </c>
      <c r="C250" t="str">
        <f t="shared" si="3"/>
        <v>('DOES NOT KNOW NAME',''),</v>
      </c>
    </row>
    <row r="251" spans="1:3" customFormat="1" hidden="1" x14ac:dyDescent="0.25">
      <c r="A251" s="1" t="s">
        <v>219</v>
      </c>
      <c r="C251" t="str">
        <f t="shared" si="3"/>
        <v>('DOES NOT MEET CRITERIA',''),</v>
      </c>
    </row>
    <row r="252" spans="1:3" customFormat="1" hidden="1" x14ac:dyDescent="0.25">
      <c r="A252" s="1" t="s">
        <v>220</v>
      </c>
      <c r="C252" t="str">
        <f t="shared" si="3"/>
        <v>('Does not want to participate',''),</v>
      </c>
    </row>
    <row r="253" spans="1:3" customFormat="1" hidden="1" x14ac:dyDescent="0.25">
      <c r="A253" s="1" t="s">
        <v>221</v>
      </c>
      <c r="C253" t="str">
        <f t="shared" si="3"/>
        <v>('DOES NOT WANT TO PROCEED W EBE SCHEDULING',''),</v>
      </c>
    </row>
    <row r="254" spans="1:3" customFormat="1" hidden="1" x14ac:dyDescent="0.25">
      <c r="A254" s="1" t="s">
        <v>222</v>
      </c>
      <c r="C254" t="str">
        <f t="shared" si="3"/>
        <v>('DOES NOT WANT TO PROCEED WITH CLAIM',''),</v>
      </c>
    </row>
    <row r="255" spans="1:3" customFormat="1" hidden="1" x14ac:dyDescent="0.25">
      <c r="A255" s="1" t="s">
        <v>223</v>
      </c>
      <c r="C255" t="str">
        <f t="shared" si="3"/>
        <v>('does not want to pursue',''),</v>
      </c>
    </row>
    <row r="256" spans="1:3" customFormat="1" hidden="1" x14ac:dyDescent="0.25">
      <c r="A256" s="1" t="s">
        <v>224</v>
      </c>
      <c r="C256" t="str">
        <f t="shared" si="3"/>
        <v>('Dominique McKillop',''),</v>
      </c>
    </row>
    <row r="257" spans="1:3" customFormat="1" hidden="1" x14ac:dyDescent="0.25">
      <c r="A257" s="1" t="s">
        <v>225</v>
      </c>
      <c r="C257" t="str">
        <f t="shared" si="3"/>
        <v>('DP',''),</v>
      </c>
    </row>
    <row r="258" spans="1:3" customFormat="1" hidden="1" x14ac:dyDescent="0.25">
      <c r="A258" s="1" t="s">
        <v>226</v>
      </c>
      <c r="C258" t="str">
        <f t="shared" si="3"/>
        <v>('Drug and ETOH',''),</v>
      </c>
    </row>
    <row r="259" spans="1:3" customFormat="1" hidden="1" x14ac:dyDescent="0.25">
      <c r="A259" s="1" t="s">
        <v>227</v>
      </c>
      <c r="C259" t="str">
        <f t="shared" ref="C259:C322" si="4">"('"&amp;A259&amp;"','"&amp;B259&amp;"'),"</f>
        <v>('Dual Rep - Fegan Scott',''),</v>
      </c>
    </row>
    <row r="260" spans="1:3" customFormat="1" hidden="1" x14ac:dyDescent="0.25">
      <c r="A260" s="1" t="s">
        <v>228</v>
      </c>
      <c r="C260" t="str">
        <f t="shared" si="4"/>
        <v>('Dual Rep (CLG and SSS)',''),</v>
      </c>
    </row>
    <row r="261" spans="1:3" customFormat="1" hidden="1" x14ac:dyDescent="0.25">
      <c r="A261" s="1" t="s">
        <v>229</v>
      </c>
      <c r="C261" t="str">
        <f t="shared" si="4"/>
        <v>('Dual rep w Berger',''),</v>
      </c>
    </row>
    <row r="262" spans="1:3" customFormat="1" hidden="1" x14ac:dyDescent="0.25">
      <c r="A262" s="1" t="s">
        <v>230</v>
      </c>
      <c r="C262" t="str">
        <f t="shared" si="4"/>
        <v>('Dual rep w CLG',''),</v>
      </c>
    </row>
    <row r="263" spans="1:3" customFormat="1" hidden="1" x14ac:dyDescent="0.25">
      <c r="A263" s="1" t="s">
        <v>231</v>
      </c>
      <c r="C263" t="str">
        <f t="shared" si="4"/>
        <v>('Dual rep w D. Miller',''),</v>
      </c>
    </row>
    <row r="264" spans="1:3" customFormat="1" hidden="1" x14ac:dyDescent="0.25">
      <c r="A264" s="1" t="s">
        <v>232</v>
      </c>
      <c r="C264" t="str">
        <f t="shared" si="4"/>
        <v>('Dual rep w Eisenberg',''),</v>
      </c>
    </row>
    <row r="265" spans="1:3" customFormat="1" hidden="1" x14ac:dyDescent="0.25">
      <c r="A265" s="1" t="s">
        <v>233</v>
      </c>
      <c r="C265" t="str">
        <f t="shared" si="4"/>
        <v>('Dual rep w LK',''),</v>
      </c>
    </row>
    <row r="266" spans="1:3" customFormat="1" hidden="1" x14ac:dyDescent="0.25">
      <c r="A266" s="1" t="s">
        <v>234</v>
      </c>
      <c r="C266" t="str">
        <f t="shared" si="4"/>
        <v>('dual rep w SSS',''),</v>
      </c>
    </row>
    <row r="267" spans="1:3" customFormat="1" hidden="1" x14ac:dyDescent="0.25">
      <c r="A267" s="1" t="s">
        <v>235</v>
      </c>
      <c r="C267" t="str">
        <f t="shared" si="4"/>
        <v>('DUAL REP w/ Herman Law',''),</v>
      </c>
    </row>
    <row r="268" spans="1:3" customFormat="1" hidden="1" x14ac:dyDescent="0.25">
      <c r="A268" s="1" t="s">
        <v>236</v>
      </c>
      <c r="C268" t="str">
        <f t="shared" si="4"/>
        <v>('Dual rep w/ LK',''),</v>
      </c>
    </row>
    <row r="269" spans="1:3" customFormat="1" hidden="1" x14ac:dyDescent="0.25">
      <c r="A269" s="1" t="s">
        <v>237</v>
      </c>
      <c r="C269" t="str">
        <f t="shared" si="4"/>
        <v>('Dual Rep w/ Rod Dellano',''),</v>
      </c>
    </row>
    <row r="270" spans="1:3" customFormat="1" hidden="1" x14ac:dyDescent="0.25">
      <c r="A270" s="1" t="s">
        <v>238</v>
      </c>
      <c r="C270" t="str">
        <f t="shared" si="4"/>
        <v>('dual-representation',''),</v>
      </c>
    </row>
    <row r="271" spans="1:3" customFormat="1" hidden="1" x14ac:dyDescent="0.25">
      <c r="A271" s="1" t="s">
        <v>239</v>
      </c>
      <c r="C271" t="str">
        <f t="shared" si="4"/>
        <v>('DUEL REP WITH ADAM HOROWITZ',''),</v>
      </c>
    </row>
    <row r="272" spans="1:3" customFormat="1" hidden="1" x14ac:dyDescent="0.25">
      <c r="A272" s="1" t="s">
        <v>240</v>
      </c>
      <c r="C272" t="str">
        <f t="shared" si="4"/>
        <v>('DUEL REP WITH SSS- SEE OTHER LISTING FOR THIS CLIENT',''),</v>
      </c>
    </row>
    <row r="273" spans="1:3" customFormat="1" hidden="1" x14ac:dyDescent="0.25">
      <c r="A273" s="1" t="s">
        <v>241</v>
      </c>
      <c r="C273" t="str">
        <f t="shared" si="4"/>
        <v>('DUPLICATE',''),</v>
      </c>
    </row>
    <row r="274" spans="1:3" customFormat="1" hidden="1" x14ac:dyDescent="0.25">
      <c r="A274" s="1" t="s">
        <v>242</v>
      </c>
      <c r="C274" t="str">
        <f t="shared" si="4"/>
        <v>('DUPLICATE HR LISTING- See other notes for Brandon Patterson',''),</v>
      </c>
    </row>
    <row r="275" spans="1:3" customFormat="1" hidden="1" x14ac:dyDescent="0.25">
      <c r="A275" s="1" t="s">
        <v>243</v>
      </c>
      <c r="C275" t="str">
        <f t="shared" si="4"/>
        <v>('DV client's brother',''),</v>
      </c>
    </row>
    <row r="276" spans="1:3" customFormat="1" hidden="1" x14ac:dyDescent="0.25">
      <c r="A276" s="1" t="s">
        <v>244</v>
      </c>
      <c r="C276" t="str">
        <f t="shared" si="4"/>
        <v>('DYFS',''),</v>
      </c>
    </row>
    <row r="277" spans="1:3" customFormat="1" hidden="1" x14ac:dyDescent="0.25">
      <c r="A277" s="1" t="s">
        <v>245</v>
      </c>
      <c r="C277" t="str">
        <f t="shared" si="4"/>
        <v>('Edelson Firm Referral',''),</v>
      </c>
    </row>
    <row r="278" spans="1:3" customFormat="1" hidden="1" x14ac:dyDescent="0.25">
      <c r="A278" s="3" t="s">
        <v>246</v>
      </c>
      <c r="C278" t="str">
        <f t="shared" si="4"/>
        <v>('Edison Township School District',''),</v>
      </c>
    </row>
    <row r="279" spans="1:3" customFormat="1" hidden="1" x14ac:dyDescent="0.25">
      <c r="A279" s="1" t="s">
        <v>247</v>
      </c>
      <c r="C279" t="str">
        <f t="shared" si="4"/>
        <v>('Edmund L Thomas Shelter',''),</v>
      </c>
    </row>
    <row r="280" spans="1:3" customFormat="1" hidden="1" x14ac:dyDescent="0.25">
      <c r="A280" s="1" t="s">
        <v>248</v>
      </c>
      <c r="C280" t="str">
        <f t="shared" si="4"/>
        <v>('Edna Mahan Correctional Facility',''),</v>
      </c>
    </row>
    <row r="281" spans="1:3" customFormat="1" hidden="1" x14ac:dyDescent="0.25">
      <c r="A281" s="1" t="s">
        <v>249</v>
      </c>
      <c r="C281" t="str">
        <f t="shared" si="4"/>
        <v>('Eihab Human Services',''),</v>
      </c>
    </row>
    <row r="282" spans="1:3" customFormat="1" hidden="1" x14ac:dyDescent="0.25">
      <c r="A282" s="1" t="s">
        <v>250</v>
      </c>
      <c r="C282" t="str">
        <f t="shared" si="4"/>
        <v>('Eisenhower Middle-High School',''),</v>
      </c>
    </row>
    <row r="283" spans="1:3" customFormat="1" hidden="1" x14ac:dyDescent="0.25">
      <c r="A283" s="1" t="s">
        <v>251</v>
      </c>
      <c r="C283" t="str">
        <f t="shared" si="4"/>
        <v>('Eligibility for Expanded BAP Examination',''),</v>
      </c>
    </row>
    <row r="284" spans="1:3" customFormat="1" hidden="1" x14ac:dyDescent="0.25">
      <c r="A284" s="1" t="s">
        <v>252</v>
      </c>
      <c r="C284" t="str">
        <f t="shared" si="4"/>
        <v>('Eligible for Expanded BAP Exam',''),</v>
      </c>
    </row>
    <row r="285" spans="1:3" customFormat="1" hidden="1" x14ac:dyDescent="0.25">
      <c r="A285" s="1" t="s">
        <v>253</v>
      </c>
      <c r="C285" t="str">
        <f t="shared" si="4"/>
        <v>('Elk County Child Youth Services',''),</v>
      </c>
    </row>
    <row r="286" spans="1:3" customFormat="1" hidden="1" x14ac:dyDescent="0.25">
      <c r="A286" s="1" t="s">
        <v>254</v>
      </c>
      <c r="C286" t="str">
        <f t="shared" si="4"/>
        <v>('EMAIL DOCS ONLY!! DO NOT MAIL ANYTHING!',''),</v>
      </c>
    </row>
    <row r="287" spans="1:3" customFormat="1" hidden="1" x14ac:dyDescent="0.25">
      <c r="A287" s="1" t="s">
        <v>255</v>
      </c>
      <c r="C287" t="str">
        <f t="shared" si="4"/>
        <v>('EMAIL ONLY',''),</v>
      </c>
    </row>
    <row r="288" spans="1:3" customFormat="1" hidden="1" x14ac:dyDescent="0.25">
      <c r="A288" s="1" t="s">
        <v>256</v>
      </c>
      <c r="C288" t="str">
        <f t="shared" si="4"/>
        <v>('EMAIL ONLY! DO NOT MAIL DOCS',''),</v>
      </c>
    </row>
    <row r="289" spans="1:3" customFormat="1" hidden="1" x14ac:dyDescent="0.25">
      <c r="A289" s="1" t="s">
        <v>257</v>
      </c>
      <c r="C289" t="str">
        <f t="shared" si="4"/>
        <v>('EMAIL ONLY! DO NOT MAIL!!!',''),</v>
      </c>
    </row>
    <row r="290" spans="1:3" customFormat="1" hidden="1" x14ac:dyDescent="0.25">
      <c r="A290" s="1" t="s">
        <v>258</v>
      </c>
      <c r="C290" t="str">
        <f t="shared" si="4"/>
        <v>('EO',''),</v>
      </c>
    </row>
    <row r="291" spans="1:3" customFormat="1" hidden="1" x14ac:dyDescent="0.25">
      <c r="A291" s="1" t="s">
        <v>259</v>
      </c>
      <c r="C291" t="str">
        <f t="shared" si="4"/>
        <v>('Erie',''),</v>
      </c>
    </row>
    <row r="292" spans="1:3" customFormat="1" hidden="1" x14ac:dyDescent="0.25">
      <c r="A292" s="1" t="s">
        <v>260</v>
      </c>
      <c r="C292" t="str">
        <f t="shared" si="4"/>
        <v>('Erie County Juvenile Detention',''),</v>
      </c>
    </row>
    <row r="293" spans="1:3" customFormat="1" hidden="1" x14ac:dyDescent="0.25">
      <c r="A293" s="1" t="s">
        <v>261</v>
      </c>
      <c r="C293" t="str">
        <f t="shared" si="4"/>
        <v>('Erie County Juvenile Detention Center',''),</v>
      </c>
    </row>
    <row r="294" spans="1:3" customFormat="1" hidden="1" x14ac:dyDescent="0.25">
      <c r="A294" s="1" t="s">
        <v>262</v>
      </c>
      <c r="C294" t="str">
        <f t="shared" si="4"/>
        <v>('Erie County Perseus',''),</v>
      </c>
    </row>
    <row r="295" spans="1:3" customFormat="1" hidden="1" x14ac:dyDescent="0.25">
      <c r="A295" s="3" t="s">
        <v>263</v>
      </c>
      <c r="C295" t="str">
        <f t="shared" si="4"/>
        <v>('Erie Diocese',''),</v>
      </c>
    </row>
    <row r="296" spans="1:3" customFormat="1" hidden="1" x14ac:dyDescent="0.25">
      <c r="A296" s="3" t="s">
        <v>263</v>
      </c>
      <c r="C296" t="str">
        <f t="shared" si="4"/>
        <v>('Erie Diocese',''),</v>
      </c>
    </row>
    <row r="297" spans="1:3" customFormat="1" hidden="1" x14ac:dyDescent="0.25">
      <c r="A297" s="3" t="s">
        <v>264</v>
      </c>
      <c r="C297" t="str">
        <f t="shared" si="4"/>
        <v>('Essex County Juvenile Detention Center',''),</v>
      </c>
    </row>
    <row r="298" spans="1:3" customFormat="1" hidden="1" x14ac:dyDescent="0.25">
      <c r="A298" s="1" t="s">
        <v>265</v>
      </c>
      <c r="C298" t="str">
        <f t="shared" si="4"/>
        <v>('Ethen Ostroff Referral',''),</v>
      </c>
    </row>
    <row r="299" spans="1:3" customFormat="1" hidden="1" x14ac:dyDescent="0.25">
      <c r="A299" s="3" t="s">
        <v>266</v>
      </c>
      <c r="C299" t="str">
        <f t="shared" si="4"/>
        <v>('Eugene Petrov Case',''),</v>
      </c>
    </row>
    <row r="300" spans="1:3" customFormat="1" hidden="1" x14ac:dyDescent="0.25">
      <c r="A300" s="1" t="s">
        <v>267</v>
      </c>
      <c r="C300" t="str">
        <f t="shared" si="4"/>
        <v>('Evangelic',''),</v>
      </c>
    </row>
    <row r="301" spans="1:3" customFormat="1" hidden="1" x14ac:dyDescent="0.25">
      <c r="A301" s="3" t="s">
        <v>268</v>
      </c>
      <c r="C301" t="str">
        <f t="shared" si="4"/>
        <v>('Evangelical Lutheran',''),</v>
      </c>
    </row>
    <row r="302" spans="1:3" customFormat="1" hidden="1" x14ac:dyDescent="0.25">
      <c r="A302" s="3" t="s">
        <v>269</v>
      </c>
      <c r="C302" t="str">
        <f t="shared" si="4"/>
        <v>('Ewing Board of Ed',''),</v>
      </c>
    </row>
    <row r="303" spans="1:3" customFormat="1" hidden="1" x14ac:dyDescent="0.25">
      <c r="A303" s="3" t="s">
        <v>270</v>
      </c>
      <c r="C303" t="str">
        <f t="shared" si="4"/>
        <v>('Ewing Board of Education Lore Elementary School Raymond Miller',''),</v>
      </c>
    </row>
    <row r="304" spans="1:3" customFormat="1" hidden="1" x14ac:dyDescent="0.25">
      <c r="A304" s="1" t="s">
        <v>271</v>
      </c>
      <c r="C304" t="str">
        <f t="shared" si="4"/>
        <v>('EXP BAP - QD LEVEL 1',''),</v>
      </c>
    </row>
    <row r="305" spans="1:3" customFormat="1" hidden="1" x14ac:dyDescent="0.25">
      <c r="A305" s="1" t="s">
        <v>272</v>
      </c>
      <c r="C305" t="str">
        <f t="shared" si="4"/>
        <v>('EXP BAP RESULTS - Level 1.5',''),</v>
      </c>
    </row>
    <row r="306" spans="1:3" customFormat="1" hidden="1" x14ac:dyDescent="0.25">
      <c r="A306" s="1" t="s">
        <v>273</v>
      </c>
      <c r="C306" t="str">
        <f t="shared" si="4"/>
        <v>('EXP BAP RESULTS - NO QD',''),</v>
      </c>
    </row>
    <row r="307" spans="1:3" customFormat="1" hidden="1" x14ac:dyDescent="0.25">
      <c r="A307" s="1" t="s">
        <v>274</v>
      </c>
      <c r="C307" t="str">
        <f t="shared" si="4"/>
        <v>('EXP BAP RESULTS - QD LEVEL 2',''),</v>
      </c>
    </row>
    <row r="308" spans="1:3" customFormat="1" hidden="1" x14ac:dyDescent="0.25">
      <c r="A308" s="1" t="s">
        <v>275</v>
      </c>
      <c r="C308" t="str">
        <f t="shared" si="4"/>
        <v>('Exp. BAP Exam',''),</v>
      </c>
    </row>
    <row r="309" spans="1:3" customFormat="1" hidden="1" x14ac:dyDescent="0.25">
      <c r="A309" s="1" t="s">
        <v>276</v>
      </c>
      <c r="C309" t="str">
        <f t="shared" si="4"/>
        <v>('Exp. BAP Result - NO QD',''),</v>
      </c>
    </row>
    <row r="310" spans="1:3" customFormat="1" hidden="1" x14ac:dyDescent="0.25">
      <c r="A310" s="1" t="s">
        <v>277</v>
      </c>
      <c r="C310" t="str">
        <f t="shared" si="4"/>
        <v>('Expanded BAP Results - LEVEL 1',''),</v>
      </c>
    </row>
    <row r="311" spans="1:3" customFormat="1" hidden="1" x14ac:dyDescent="0.25">
      <c r="A311" s="1" t="s">
        <v>278</v>
      </c>
      <c r="C311" t="str">
        <f t="shared" si="4"/>
        <v>('Expanded BAP Results - NO QD',''),</v>
      </c>
    </row>
    <row r="312" spans="1:3" customFormat="1" hidden="1" x14ac:dyDescent="0.25">
      <c r="A312" s="1" t="s">
        <v>279</v>
      </c>
      <c r="C312" t="str">
        <f t="shared" si="4"/>
        <v>('Extended BAP Exam',''),</v>
      </c>
    </row>
    <row r="313" spans="1:3" customFormat="1" hidden="1" x14ac:dyDescent="0.25">
      <c r="A313" s="1" t="s">
        <v>280</v>
      </c>
      <c r="C313" t="str">
        <f t="shared" si="4"/>
        <v>('Failed Validity - now BAP',''),</v>
      </c>
    </row>
    <row r="314" spans="1:3" customFormat="1" hidden="1" x14ac:dyDescent="0.25">
      <c r="A314" s="3" t="s">
        <v>281</v>
      </c>
      <c r="C314" t="str">
        <f t="shared" si="4"/>
        <v>('Fairmount Behavioral Hospital',''),</v>
      </c>
    </row>
    <row r="315" spans="1:3" customFormat="1" hidden="1" x14ac:dyDescent="0.25">
      <c r="A315" s="1" t="s">
        <v>282</v>
      </c>
      <c r="C315" t="str">
        <f t="shared" si="4"/>
        <v>('FEE SHARING AGREEMENT WITH ROD DELLANO',''),</v>
      </c>
    </row>
    <row r="316" spans="1:3" customFormat="1" hidden="1" x14ac:dyDescent="0.25">
      <c r="A316" s="1" t="s">
        <v>283</v>
      </c>
      <c r="C316" t="str">
        <f t="shared" si="4"/>
        <v>('Feldman Shepherd- Paul Lauricella Referral',''),</v>
      </c>
    </row>
    <row r="317" spans="1:3" customFormat="1" hidden="1" x14ac:dyDescent="0.25">
      <c r="A317" s="1" t="s">
        <v>284</v>
      </c>
      <c r="C317" t="str">
        <f t="shared" si="4"/>
        <v>('First Spanish Assembly Of God',''),</v>
      </c>
    </row>
    <row r="318" spans="1:3" customFormat="1" hidden="1" x14ac:dyDescent="0.25">
      <c r="A318" s="3" t="s">
        <v>285</v>
      </c>
      <c r="C318" t="str">
        <f t="shared" si="4"/>
        <v>('First United Methodist Church',''),</v>
      </c>
    </row>
    <row r="319" spans="1:3" customFormat="1" hidden="1" x14ac:dyDescent="0.25">
      <c r="A319" s="1" t="s">
        <v>286</v>
      </c>
      <c r="C319" t="str">
        <f t="shared" si="4"/>
        <v>('Florida Devereux',''),</v>
      </c>
    </row>
    <row r="320" spans="1:3" customFormat="1" hidden="1" x14ac:dyDescent="0.25">
      <c r="A320" s="1" t="s">
        <v>287</v>
      </c>
      <c r="C320" t="str">
        <f t="shared" si="4"/>
        <v>('FOR SETTLEMENT- REMEMBER LETTER OF PROTECTION!',''),</v>
      </c>
    </row>
    <row r="321" spans="1:3" customFormat="1" hidden="1" x14ac:dyDescent="0.25">
      <c r="A321" s="1" t="s">
        <v>288</v>
      </c>
      <c r="C321" t="str">
        <f t="shared" si="4"/>
        <v>('Foster Home',''),</v>
      </c>
    </row>
    <row r="322" spans="1:3" customFormat="1" hidden="1" x14ac:dyDescent="0.25">
      <c r="A322" s="1" t="s">
        <v>289</v>
      </c>
      <c r="C322" t="str">
        <f t="shared" si="4"/>
        <v>('Franciscan',''),</v>
      </c>
    </row>
    <row r="323" spans="1:3" customFormat="1" hidden="1" x14ac:dyDescent="0.25">
      <c r="A323" s="1" t="s">
        <v>290</v>
      </c>
      <c r="C323" t="str">
        <f t="shared" ref="C323:C386" si="5">"('"&amp;A323&amp;"','"&amp;B323&amp;"'),"</f>
        <v>('FRANK passed away 04/30/21',''),</v>
      </c>
    </row>
    <row r="324" spans="1:3" customFormat="1" hidden="1" x14ac:dyDescent="0.25">
      <c r="A324" s="1" t="s">
        <v>291</v>
      </c>
      <c r="C324" t="str">
        <f t="shared" si="5"/>
        <v>('Friend of Eric Myers',''),</v>
      </c>
    </row>
    <row r="325" spans="1:3" customFormat="1" hidden="1" x14ac:dyDescent="0.25">
      <c r="A325" s="1" t="s">
        <v>292</v>
      </c>
      <c r="C325" t="str">
        <f t="shared" si="5"/>
        <v>('Friend of Leonard Mann',''),</v>
      </c>
    </row>
    <row r="326" spans="1:3" customFormat="1" hidden="1" x14ac:dyDescent="0.25">
      <c r="A326" s="1" t="s">
        <v>293</v>
      </c>
      <c r="C326" t="str">
        <f t="shared" si="5"/>
        <v>('Friend of Mike Delguerico',''),</v>
      </c>
    </row>
    <row r="327" spans="1:3" customFormat="1" hidden="1" x14ac:dyDescent="0.25">
      <c r="A327" s="1" t="s">
        <v>294</v>
      </c>
      <c r="C327" t="str">
        <f t="shared" si="5"/>
        <v>('Friend of Peter Bonastia',''),</v>
      </c>
    </row>
    <row r="328" spans="1:3" customFormat="1" hidden="1" x14ac:dyDescent="0.25">
      <c r="A328" s="1" t="s">
        <v>295</v>
      </c>
      <c r="C328" t="str">
        <f t="shared" si="5"/>
        <v>('Friends with Daniel McHugh',''),</v>
      </c>
    </row>
    <row r="329" spans="1:3" customFormat="1" hidden="1" x14ac:dyDescent="0.25">
      <c r="A329" s="1" t="s">
        <v>296</v>
      </c>
      <c r="C329" t="str">
        <f t="shared" si="5"/>
        <v>('Friends with John Byrne',''),</v>
      </c>
    </row>
    <row r="330" spans="1:3" customFormat="1" hidden="1" x14ac:dyDescent="0.25">
      <c r="A330" s="1" t="s">
        <v>297</v>
      </c>
      <c r="C330" t="str">
        <f t="shared" si="5"/>
        <v>('Gabriel's Hall',''),</v>
      </c>
    </row>
    <row r="331" spans="1:3" customFormat="1" hidden="1" x14ac:dyDescent="0.25">
      <c r="A331" s="1" t="s">
        <v>298</v>
      </c>
      <c r="C331" t="str">
        <f t="shared" si="5"/>
        <v>('Gannondale School for Girls',''),</v>
      </c>
    </row>
    <row r="332" spans="1:3" customFormat="1" hidden="1" x14ac:dyDescent="0.25">
      <c r="A332" s="1" t="s">
        <v>299</v>
      </c>
      <c r="C332" t="str">
        <f t="shared" si="5"/>
        <v>('Geoff Budden Referral',''),</v>
      </c>
    </row>
    <row r="333" spans="1:3" customFormat="1" hidden="1" x14ac:dyDescent="0.25">
      <c r="A333" s="4" t="s">
        <v>300</v>
      </c>
      <c r="C333" t="str">
        <f t="shared" si="5"/>
        <v>('George Jr Republic',''),</v>
      </c>
    </row>
    <row r="334" spans="1:3" customFormat="1" hidden="1" x14ac:dyDescent="0.25">
      <c r="A334" s="4" t="s">
        <v>301</v>
      </c>
      <c r="C334" t="str">
        <f t="shared" si="5"/>
        <v>('George Jr. Academy',''),</v>
      </c>
    </row>
    <row r="335" spans="1:3" customFormat="1" hidden="1" x14ac:dyDescent="0.25">
      <c r="A335" s="4" t="s">
        <v>302</v>
      </c>
      <c r="C335" t="str">
        <f t="shared" si="5"/>
        <v>('George Jr. Academy PA',''),</v>
      </c>
    </row>
    <row r="336" spans="1:3" customFormat="1" hidden="1" x14ac:dyDescent="0.25">
      <c r="A336" s="4" t="s">
        <v>303</v>
      </c>
      <c r="C336" t="str">
        <f t="shared" si="5"/>
        <v>('George Junior Republic',''),</v>
      </c>
    </row>
    <row r="337" spans="1:3" customFormat="1" hidden="1" x14ac:dyDescent="0.25">
      <c r="A337" s="4" t="s">
        <v>304</v>
      </c>
      <c r="C337" t="str">
        <f t="shared" si="5"/>
        <v>('George Junior Republic Institution in PA',''),</v>
      </c>
    </row>
    <row r="338" spans="1:3" customFormat="1" hidden="1" x14ac:dyDescent="0.25">
      <c r="A338" s="4" t="s">
        <v>305</v>
      </c>
      <c r="C338" t="str">
        <f t="shared" si="5"/>
        <v>('George W Hill Correctional Facility',''),</v>
      </c>
    </row>
    <row r="339" spans="1:3" customFormat="1" hidden="1" x14ac:dyDescent="0.25">
      <c r="A339" s="1" t="s">
        <v>306</v>
      </c>
      <c r="C339" t="str">
        <f t="shared" si="5"/>
        <v>('Girard Academic Music Program;',''),</v>
      </c>
    </row>
    <row r="340" spans="1:3" customFormat="1" hidden="1" x14ac:dyDescent="0.25">
      <c r="A340" s="1" t="s">
        <v>307</v>
      </c>
      <c r="C340" t="str">
        <f t="shared" si="5"/>
        <v>('Girl Scouts of America',''),</v>
      </c>
    </row>
    <row r="341" spans="1:3" customFormat="1" hidden="1" x14ac:dyDescent="0.25">
      <c r="A341" s="1" t="s">
        <v>308</v>
      </c>
      <c r="C341" t="str">
        <f t="shared" si="5"/>
        <v>('Glade Run',''),</v>
      </c>
    </row>
    <row r="342" spans="1:3" customFormat="1" hidden="1" x14ac:dyDescent="0.25">
      <c r="A342" s="1" t="s">
        <v>309</v>
      </c>
      <c r="C342" t="str">
        <f t="shared" si="5"/>
        <v>('Gladerun Lutheran Services',''),</v>
      </c>
    </row>
    <row r="343" spans="1:3" customFormat="1" hidden="1" x14ac:dyDescent="0.25">
      <c r="A343" s="1" t="s">
        <v>310</v>
      </c>
      <c r="C343" t="str">
        <f t="shared" si="5"/>
        <v>('glen',''),</v>
      </c>
    </row>
    <row r="344" spans="1:3" customFormat="1" hidden="1" x14ac:dyDescent="0.25">
      <c r="A344" s="1" t="s">
        <v>311</v>
      </c>
      <c r="C344" t="str">
        <f t="shared" si="5"/>
        <v>('Glen Brook Rehabilitation and Healthcare Center',''),</v>
      </c>
    </row>
    <row r="345" spans="1:3" customFormat="1" hidden="1" x14ac:dyDescent="0.25">
      <c r="A345" s="3" t="s">
        <v>312</v>
      </c>
      <c r="C345" t="str">
        <f t="shared" si="5"/>
        <v>('Glen Mills',''),</v>
      </c>
    </row>
    <row r="346" spans="1:3" customFormat="1" hidden="1" x14ac:dyDescent="0.25">
      <c r="A346" s="3" t="s">
        <v>312</v>
      </c>
      <c r="C346" t="str">
        <f t="shared" si="5"/>
        <v>('Glen Mills',''),</v>
      </c>
    </row>
    <row r="347" spans="1:3" customFormat="1" hidden="1" x14ac:dyDescent="0.25">
      <c r="A347" s="3" t="s">
        <v>314</v>
      </c>
      <c r="C347" t="str">
        <f t="shared" si="5"/>
        <v>('Glen Mills - 185 Glen Mills Rd Glen Mills PA 19342',''),</v>
      </c>
    </row>
    <row r="348" spans="1:3" customFormat="1" hidden="1" x14ac:dyDescent="0.25">
      <c r="A348" s="3" t="s">
        <v>314</v>
      </c>
      <c r="C348" t="str">
        <f t="shared" si="5"/>
        <v>('Glen Mills - 185 Glen Mills Rd Glen Mills PA 19342',''),</v>
      </c>
    </row>
    <row r="349" spans="1:3" customFormat="1" hidden="1" x14ac:dyDescent="0.25">
      <c r="A349" s="3" t="s">
        <v>315</v>
      </c>
      <c r="C349" t="str">
        <f t="shared" si="5"/>
        <v>('Glen Mills - Tolling Agreement',''),</v>
      </c>
    </row>
    <row r="350" spans="1:3" customFormat="1" hidden="1" x14ac:dyDescent="0.25">
      <c r="A350" s="3" t="s">
        <v>315</v>
      </c>
      <c r="C350" t="str">
        <f t="shared" si="5"/>
        <v>('Glen Mills - Tolling Agreement',''),</v>
      </c>
    </row>
    <row r="351" spans="1:3" customFormat="1" hidden="1" x14ac:dyDescent="0.25">
      <c r="A351" s="3" t="s">
        <v>313</v>
      </c>
      <c r="C351" t="str">
        <f t="shared" si="5"/>
        <v>('Glen Mills School',''),</v>
      </c>
    </row>
    <row r="352" spans="1:3" customFormat="1" hidden="1" x14ac:dyDescent="0.25">
      <c r="A352" s="3" t="s">
        <v>313</v>
      </c>
      <c r="C352" t="str">
        <f t="shared" si="5"/>
        <v>('Glen Mills School',''),</v>
      </c>
    </row>
    <row r="353" spans="1:3" customFormat="1" hidden="1" x14ac:dyDescent="0.25">
      <c r="A353" s="3" t="s">
        <v>316</v>
      </c>
      <c r="C353" t="str">
        <f t="shared" si="5"/>
        <v>('Glen Mills-TD',''),</v>
      </c>
    </row>
    <row r="354" spans="1:3" customFormat="1" hidden="1" x14ac:dyDescent="0.25">
      <c r="A354" s="3" t="s">
        <v>316</v>
      </c>
      <c r="C354" t="str">
        <f t="shared" si="5"/>
        <v>('Glen Mills-TD',''),</v>
      </c>
    </row>
    <row r="355" spans="1:3" customFormat="1" hidden="1" x14ac:dyDescent="0.25">
      <c r="A355" s="3" t="s">
        <v>317</v>
      </c>
      <c r="C355" t="str">
        <f t="shared" si="5"/>
        <v>('Gloucester City High School',''),</v>
      </c>
    </row>
    <row r="356" spans="1:3" customFormat="1" hidden="1" x14ac:dyDescent="0.25">
      <c r="A356" s="1" t="s">
        <v>318</v>
      </c>
      <c r="C356" t="str">
        <f t="shared" si="5"/>
        <v>('GM',''),</v>
      </c>
    </row>
    <row r="357" spans="1:3" customFormat="1" hidden="1" x14ac:dyDescent="0.25">
      <c r="A357" s="1" t="s">
        <v>319</v>
      </c>
      <c r="C357" t="str">
        <f t="shared" si="5"/>
        <v>('GM - TD',''),</v>
      </c>
    </row>
    <row r="358" spans="1:3" customFormat="1" hidden="1" x14ac:dyDescent="0.25">
      <c r="A358" s="1" t="s">
        <v>320</v>
      </c>
      <c r="C358" t="str">
        <f t="shared" si="5"/>
        <v>('GM + DP',''),</v>
      </c>
    </row>
    <row r="359" spans="1:3" customFormat="1" hidden="1" x14ac:dyDescent="0.25">
      <c r="A359" s="1" t="s">
        <v>321</v>
      </c>
      <c r="C359" t="str">
        <f t="shared" si="5"/>
        <v>('GMS',''),</v>
      </c>
    </row>
    <row r="360" spans="1:3" customFormat="1" hidden="1" x14ac:dyDescent="0.25">
      <c r="A360" s="1" t="s">
        <v>322</v>
      </c>
      <c r="C360" t="str">
        <f t="shared" si="5"/>
        <v>('Goes by Bill',''),</v>
      </c>
    </row>
    <row r="361" spans="1:3" customFormat="1" hidden="1" x14ac:dyDescent="0.25">
      <c r="A361" s="1" t="s">
        <v>323</v>
      </c>
      <c r="C361" t="str">
        <f t="shared" si="5"/>
        <v>('Goes by Chris',''),</v>
      </c>
    </row>
    <row r="362" spans="1:3" customFormat="1" hidden="1" x14ac:dyDescent="0.25">
      <c r="A362" s="1" t="s">
        <v>324</v>
      </c>
      <c r="C362" t="str">
        <f t="shared" si="5"/>
        <v>('Goes by Jeff',''),</v>
      </c>
    </row>
    <row r="363" spans="1:3" customFormat="1" hidden="1" x14ac:dyDescent="0.25">
      <c r="A363" s="1" t="s">
        <v>325</v>
      </c>
      <c r="C363" t="str">
        <f t="shared" si="5"/>
        <v>('Goes by Jerry',''),</v>
      </c>
    </row>
    <row r="364" spans="1:3" customFormat="1" hidden="1" x14ac:dyDescent="0.25">
      <c r="A364" s="1" t="s">
        <v>326</v>
      </c>
      <c r="C364" t="str">
        <f t="shared" si="5"/>
        <v>('Goes by Joe',''),</v>
      </c>
    </row>
    <row r="365" spans="1:3" customFormat="1" hidden="1" x14ac:dyDescent="0.25">
      <c r="A365" s="1" t="s">
        <v>327</v>
      </c>
      <c r="C365" t="str">
        <f t="shared" si="5"/>
        <v>('Goes by Kenny',''),</v>
      </c>
    </row>
    <row r="366" spans="1:3" customFormat="1" hidden="1" x14ac:dyDescent="0.25">
      <c r="A366" s="1" t="s">
        <v>328</v>
      </c>
      <c r="C366" t="str">
        <f t="shared" si="5"/>
        <v>('Goes by Nico',''),</v>
      </c>
    </row>
    <row r="367" spans="1:3" customFormat="1" hidden="1" x14ac:dyDescent="0.25">
      <c r="A367" s="1" t="s">
        <v>329</v>
      </c>
      <c r="C367" t="str">
        <f t="shared" si="5"/>
        <v>('Goes by Reggie',''),</v>
      </c>
    </row>
    <row r="368" spans="1:3" customFormat="1" hidden="1" x14ac:dyDescent="0.25">
      <c r="A368" s="1" t="s">
        <v>330</v>
      </c>
      <c r="C368" t="str">
        <f t="shared" si="5"/>
        <v>('Goes by Ted',''),</v>
      </c>
    </row>
    <row r="369" spans="1:3" customFormat="1" hidden="1" x14ac:dyDescent="0.25">
      <c r="A369" s="1" t="s">
        <v>331</v>
      </c>
      <c r="C369" t="str">
        <f t="shared" si="5"/>
        <v>('GOOD CASE',''),</v>
      </c>
    </row>
    <row r="370" spans="1:3" customFormat="1" hidden="1" x14ac:dyDescent="0.25">
      <c r="A370" s="1" t="s">
        <v>332</v>
      </c>
      <c r="C370" t="str">
        <f t="shared" si="5"/>
        <v>('GOOD CASE- BAD ABUSE',''),</v>
      </c>
    </row>
    <row r="371" spans="1:3" customFormat="1" hidden="1" x14ac:dyDescent="0.25">
      <c r="A371" s="1" t="s">
        <v>333</v>
      </c>
      <c r="C371" t="str">
        <f t="shared" si="5"/>
        <v>('GOOD WITNESS',''),</v>
      </c>
    </row>
    <row r="372" spans="1:3" customFormat="1" hidden="1" x14ac:dyDescent="0.25">
      <c r="A372" s="3" t="s">
        <v>334</v>
      </c>
      <c r="C372" t="str">
        <f t="shared" si="5"/>
        <v>('Greensburg',''),</v>
      </c>
    </row>
    <row r="373" spans="1:3" customFormat="1" hidden="1" x14ac:dyDescent="0.25">
      <c r="A373" s="3" t="s">
        <v>334</v>
      </c>
      <c r="C373" t="str">
        <f t="shared" si="5"/>
        <v>('Greensburg',''),</v>
      </c>
    </row>
    <row r="374" spans="1:3" customFormat="1" hidden="1" x14ac:dyDescent="0.25">
      <c r="A374" s="1" t="s">
        <v>335</v>
      </c>
      <c r="C374" t="str">
        <f t="shared" si="5"/>
        <v>('Greensburg Catholic High School',''),</v>
      </c>
    </row>
    <row r="375" spans="1:3" customFormat="1" hidden="1" x14ac:dyDescent="0.25">
      <c r="A375" s="1" t="s">
        <v>336</v>
      </c>
      <c r="C375" t="str">
        <f t="shared" si="5"/>
        <v>('Greensburg Questionaire completed',''),</v>
      </c>
    </row>
    <row r="376" spans="1:3" customFormat="1" hidden="1" x14ac:dyDescent="0.25">
      <c r="A376" s="1" t="s">
        <v>337</v>
      </c>
      <c r="C376" t="str">
        <f t="shared" si="5"/>
        <v>('Greensburg Questionnaire submitted 5/20',''),</v>
      </c>
    </row>
    <row r="377" spans="1:3" customFormat="1" hidden="1" x14ac:dyDescent="0.25">
      <c r="A377" s="1" t="s">
        <v>338</v>
      </c>
      <c r="C377" t="str">
        <f t="shared" si="5"/>
        <v>('Greensburg questionnaire sumbitted 5/20',''),</v>
      </c>
    </row>
    <row r="378" spans="1:3" customFormat="1" hidden="1" x14ac:dyDescent="0.25">
      <c r="A378" s="1" t="s">
        <v>339</v>
      </c>
      <c r="C378" t="str">
        <f t="shared" si="5"/>
        <v>('Greg Gianfarcaro Referral',''),</v>
      </c>
    </row>
    <row r="379" spans="1:3" customFormat="1" hidden="1" x14ac:dyDescent="0.25">
      <c r="A379" s="1" t="s">
        <v>340</v>
      </c>
      <c r="C379" t="str">
        <f t="shared" si="5"/>
        <v>('Greg Gianforcaro referral',''),</v>
      </c>
    </row>
    <row r="380" spans="1:3" customFormat="1" hidden="1" x14ac:dyDescent="0.25">
      <c r="A380" s="1" t="s">
        <v>341</v>
      </c>
      <c r="C380" t="str">
        <f t="shared" si="5"/>
        <v>('Greg Gianfracaro',''),</v>
      </c>
    </row>
    <row r="381" spans="1:3" customFormat="1" hidden="1" x14ac:dyDescent="0.25">
      <c r="A381" s="1" t="s">
        <v>342</v>
      </c>
      <c r="C381" t="str">
        <f t="shared" si="5"/>
        <v>('Grungo &amp; Colarula Referral',''),</v>
      </c>
    </row>
    <row r="382" spans="1:3" customFormat="1" hidden="1" x14ac:dyDescent="0.25">
      <c r="A382" s="1" t="s">
        <v>343</v>
      </c>
      <c r="C382" t="str">
        <f t="shared" si="5"/>
        <v>('Hampton Behavioral Health Center',''),</v>
      </c>
    </row>
    <row r="383" spans="1:3" customFormat="1" hidden="1" x14ac:dyDescent="0.25">
      <c r="A383" s="1" t="s">
        <v>344</v>
      </c>
      <c r="C383" t="str">
        <f t="shared" si="5"/>
        <v>('Harborcreek Youth Services',''),</v>
      </c>
    </row>
    <row r="384" spans="1:3" customFormat="1" hidden="1" x14ac:dyDescent="0.25">
      <c r="A384" s="1" t="s">
        <v>345</v>
      </c>
      <c r="C384" t="str">
        <f t="shared" si="5"/>
        <v>('Harborfields Atlantic Youth Center',''),</v>
      </c>
    </row>
    <row r="385" spans="1:3" customFormat="1" hidden="1" x14ac:dyDescent="0.25">
      <c r="A385" s="3" t="s">
        <v>346</v>
      </c>
      <c r="C385" t="str">
        <f t="shared" si="5"/>
        <v>('Harrisburg Diocese',''),</v>
      </c>
    </row>
    <row r="386" spans="1:3" customFormat="1" hidden="1" x14ac:dyDescent="0.25">
      <c r="A386" s="3" t="s">
        <v>346</v>
      </c>
      <c r="C386" t="str">
        <f t="shared" si="5"/>
        <v>('Harrisburg Diocese',''),</v>
      </c>
    </row>
    <row r="387" spans="1:3" customFormat="1" hidden="1" x14ac:dyDescent="0.25">
      <c r="A387" s="1" t="s">
        <v>347</v>
      </c>
      <c r="C387" t="str">
        <f t="shared" ref="C387:C450" si="6">"('"&amp;A387&amp;"','"&amp;B387&amp;"'),"</f>
        <v>('Harrisburg Questionaire completed',''),</v>
      </c>
    </row>
    <row r="388" spans="1:3" customFormat="1" hidden="1" x14ac:dyDescent="0.25">
      <c r="A388" s="1" t="s">
        <v>348</v>
      </c>
      <c r="C388" t="str">
        <f t="shared" si="6"/>
        <v>('HAS ANOTHER LAWYER',''),</v>
      </c>
    </row>
    <row r="389" spans="1:3" customFormat="1" hidden="1" x14ac:dyDescent="0.25">
      <c r="A389" s="1" t="s">
        <v>349</v>
      </c>
      <c r="C389" t="str">
        <f t="shared" si="6"/>
        <v>('HAS LOANS',''),</v>
      </c>
    </row>
    <row r="390" spans="1:3" customFormat="1" hidden="1" x14ac:dyDescent="0.25">
      <c r="A390" s="1" t="s">
        <v>350</v>
      </c>
      <c r="C390" t="str">
        <f t="shared" si="6"/>
        <v>('Hazing',''),</v>
      </c>
    </row>
    <row r="391" spans="1:3" customFormat="1" hidden="1" x14ac:dyDescent="0.25">
      <c r="A391" s="1" t="s">
        <v>351</v>
      </c>
      <c r="C391" t="str">
        <f t="shared" si="6"/>
        <v>('Hedonism II',''),</v>
      </c>
    </row>
    <row r="392" spans="1:3" customFormat="1" hidden="1" x14ac:dyDescent="0.25">
      <c r="A392" s="4" t="s">
        <v>352</v>
      </c>
      <c r="C392" t="str">
        <f t="shared" si="6"/>
        <v>('Herlich Juvenile Detention Center',''),</v>
      </c>
    </row>
    <row r="393" spans="1:3" customFormat="1" hidden="1" x14ac:dyDescent="0.25">
      <c r="A393" s="1" t="s">
        <v>353</v>
      </c>
      <c r="C393" t="str">
        <f t="shared" si="6"/>
        <v>('Hermitage House',''),</v>
      </c>
    </row>
    <row r="394" spans="1:3" customFormat="1" hidden="1" x14ac:dyDescent="0.25">
      <c r="A394" s="1" t="s">
        <v>354</v>
      </c>
      <c r="C394" t="str">
        <f t="shared" si="6"/>
        <v>('Highrise',''),</v>
      </c>
    </row>
    <row r="395" spans="1:3" customFormat="1" hidden="1" x14ac:dyDescent="0.25">
      <c r="A395" s="1" t="s">
        <v>355</v>
      </c>
      <c r="C395" t="str">
        <f t="shared" si="6"/>
        <v>('Hired Another Firm',''),</v>
      </c>
    </row>
    <row r="396" spans="1:3" customFormat="1" hidden="1" x14ac:dyDescent="0.25">
      <c r="A396" s="1" t="s">
        <v>356</v>
      </c>
      <c r="C396" t="str">
        <f t="shared" si="6"/>
        <v>('Hired New Firm Sacco &amp; Fillas',''),</v>
      </c>
    </row>
    <row r="397" spans="1:3" customFormat="1" hidden="1" x14ac:dyDescent="0.25">
      <c r="A397" s="1" t="s">
        <v>357</v>
      </c>
      <c r="C397" t="str">
        <f t="shared" si="6"/>
        <v>('Holy Family Institute',''),</v>
      </c>
    </row>
    <row r="398" spans="1:3" customFormat="1" hidden="1" x14ac:dyDescent="0.25">
      <c r="A398" s="1" t="s">
        <v>358</v>
      </c>
      <c r="C398" t="str">
        <f t="shared" si="6"/>
        <v>('HOMELESS',''),</v>
      </c>
    </row>
    <row r="399" spans="1:3" customFormat="1" hidden="1" x14ac:dyDescent="0.25">
      <c r="A399" s="1" t="s">
        <v>359</v>
      </c>
      <c r="C399" t="str">
        <f t="shared" si="6"/>
        <v>('Hospital',''),</v>
      </c>
    </row>
    <row r="400" spans="1:3" customFormat="1" hidden="1" x14ac:dyDescent="0.25">
      <c r="A400" s="1" t="s">
        <v>360</v>
      </c>
      <c r="C400" t="str">
        <f t="shared" si="6"/>
        <v>('Hudson County Juvenile Detention Center',''),</v>
      </c>
    </row>
    <row r="401" spans="1:3" customFormat="1" hidden="1" x14ac:dyDescent="0.25">
      <c r="A401" s="1" t="s">
        <v>361</v>
      </c>
      <c r="C401" t="str">
        <f t="shared" si="6"/>
        <v>('Hudson County Youth House',''),</v>
      </c>
    </row>
    <row r="402" spans="1:3" customFormat="1" hidden="1" x14ac:dyDescent="0.25">
      <c r="A402" s="1" t="s">
        <v>362</v>
      </c>
      <c r="C402" t="str">
        <f t="shared" si="6"/>
        <v>('Hudson Foster Home',''),</v>
      </c>
    </row>
    <row r="403" spans="1:3" customFormat="1" hidden="1" x14ac:dyDescent="0.25">
      <c r="A403" s="1" t="s">
        <v>363</v>
      </c>
      <c r="C403" t="str">
        <f t="shared" si="6"/>
        <v>('IF INELGIBLE- LET CM KNOW',''),</v>
      </c>
    </row>
    <row r="404" spans="1:3" customFormat="1" hidden="1" x14ac:dyDescent="0.25">
      <c r="A404" s="1" t="s">
        <v>364</v>
      </c>
      <c r="C404" t="str">
        <f t="shared" si="6"/>
        <v>('IF INELIGIBLE- LET CM KNOW',''),</v>
      </c>
    </row>
    <row r="405" spans="1:3" customFormat="1" hidden="1" x14ac:dyDescent="0.25">
      <c r="A405" s="1" t="s">
        <v>365</v>
      </c>
      <c r="C405" t="str">
        <f t="shared" si="6"/>
        <v>('IF NOT ELIGIBLE- LET CM KNOW',''),</v>
      </c>
    </row>
    <row r="406" spans="1:3" customFormat="1" hidden="1" x14ac:dyDescent="0.25">
      <c r="A406" s="1" t="s">
        <v>366</v>
      </c>
      <c r="C406" t="str">
        <f t="shared" si="6"/>
        <v>('IN JAIL',''),</v>
      </c>
    </row>
    <row r="407" spans="1:3" customFormat="1" hidden="1" x14ac:dyDescent="0.25">
      <c r="A407" s="1" t="s">
        <v>367</v>
      </c>
      <c r="C407" t="str">
        <f t="shared" si="6"/>
        <v>('IN SOL',''),</v>
      </c>
    </row>
    <row r="408" spans="1:3" customFormat="1" hidden="1" x14ac:dyDescent="0.25">
      <c r="A408" s="1" t="s">
        <v>368</v>
      </c>
      <c r="C408" t="str">
        <f t="shared" si="6"/>
        <v>('IN STATUE',''),</v>
      </c>
    </row>
    <row r="409" spans="1:3" customFormat="1" hidden="1" x14ac:dyDescent="0.25">
      <c r="A409" s="1" t="s">
        <v>369</v>
      </c>
      <c r="C409" t="str">
        <f t="shared" si="6"/>
        <v>('In Statute',''),</v>
      </c>
    </row>
    <row r="410" spans="1:3" customFormat="1" hidden="1" x14ac:dyDescent="0.25">
      <c r="A410" s="1" t="s">
        <v>370</v>
      </c>
      <c r="C410" t="str">
        <f t="shared" si="6"/>
        <v>('IN SUIT',''),</v>
      </c>
    </row>
    <row r="411" spans="1:3" customFormat="1" hidden="1" x14ac:dyDescent="0.25">
      <c r="A411" s="1" t="s">
        <v>371</v>
      </c>
      <c r="C411" t="str">
        <f t="shared" si="6"/>
        <v>('IN SUIT - DEV',''),</v>
      </c>
    </row>
    <row r="412" spans="1:3" customFormat="1" hidden="1" x14ac:dyDescent="0.25">
      <c r="A412" s="1" t="s">
        <v>372</v>
      </c>
      <c r="C412" t="str">
        <f t="shared" si="6"/>
        <v>('IN SUIT - STG',''),</v>
      </c>
    </row>
    <row r="413" spans="1:3" customFormat="1" hidden="1" x14ac:dyDescent="0.25">
      <c r="A413" s="1" t="s">
        <v>373</v>
      </c>
      <c r="C413" t="str">
        <f t="shared" si="6"/>
        <v>('IN SUIT - STG (CLG ONLY)',''),</v>
      </c>
    </row>
    <row r="414" spans="1:3" customFormat="1" hidden="1" x14ac:dyDescent="0.25">
      <c r="A414" s="1" t="s">
        <v>374</v>
      </c>
      <c r="C414" t="str">
        <f t="shared" si="6"/>
        <v>('IN SUIT - STG ONLY',''),</v>
      </c>
    </row>
    <row r="415" spans="1:3" customFormat="1" hidden="1" x14ac:dyDescent="0.25">
      <c r="A415" s="1" t="s">
        <v>375</v>
      </c>
      <c r="C415" t="str">
        <f t="shared" si="6"/>
        <v>('IN SUIT - VQ',''),</v>
      </c>
    </row>
    <row r="416" spans="1:3" customFormat="1" hidden="1" x14ac:dyDescent="0.25">
      <c r="A416" s="1" t="s">
        <v>376</v>
      </c>
      <c r="C416" t="str">
        <f t="shared" si="6"/>
        <v>('IN SUIT - VQ ONLY',''),</v>
      </c>
    </row>
    <row r="417" spans="1:3" customFormat="1" hidden="1" x14ac:dyDescent="0.25">
      <c r="A417" s="1" t="s">
        <v>377</v>
      </c>
      <c r="C417" t="str">
        <f t="shared" si="6"/>
        <v>('IN SUIT (filed by CLG)',''),</v>
      </c>
    </row>
    <row r="418" spans="1:3" customFormat="1" hidden="1" x14ac:dyDescent="0.25">
      <c r="A418" s="1" t="s">
        <v>378</v>
      </c>
      <c r="C418" t="str">
        <f t="shared" si="6"/>
        <v>('In Suit @SSS',''),</v>
      </c>
    </row>
    <row r="419" spans="1:3" customFormat="1" hidden="1" x14ac:dyDescent="0.25">
      <c r="A419" s="1" t="s">
        <v>379</v>
      </c>
      <c r="C419" t="str">
        <f t="shared" si="6"/>
        <v>('In Suit-GMS SFC',''),</v>
      </c>
    </row>
    <row r="420" spans="1:3" customFormat="1" hidden="1" x14ac:dyDescent="0.25">
      <c r="A420" s="1" t="s">
        <v>380</v>
      </c>
      <c r="C420" t="str">
        <f t="shared" si="6"/>
        <v>('inc',''),</v>
      </c>
    </row>
    <row r="421" spans="1:3" customFormat="1" hidden="1" x14ac:dyDescent="0.25">
      <c r="A421" s="1" t="s">
        <v>381</v>
      </c>
      <c r="C421" t="str">
        <f t="shared" si="6"/>
        <v>('Incarcerated',''),</v>
      </c>
    </row>
    <row r="422" spans="1:3" customFormat="1" hidden="1" x14ac:dyDescent="0.25">
      <c r="A422" s="1" t="s">
        <v>382</v>
      </c>
      <c r="C422" t="str">
        <f t="shared" si="6"/>
        <v>('Incarcerated - Federal',''),</v>
      </c>
    </row>
    <row r="423" spans="1:3" customFormat="1" hidden="1" x14ac:dyDescent="0.25">
      <c r="A423" s="1" t="s">
        <v>383</v>
      </c>
      <c r="C423" t="str">
        <f t="shared" si="6"/>
        <v>('Incarcerated - Federal Detention Center',''),</v>
      </c>
    </row>
    <row r="424" spans="1:3" customFormat="1" hidden="1" x14ac:dyDescent="0.25">
      <c r="A424" s="1" t="s">
        <v>384</v>
      </c>
      <c r="C424" t="str">
        <f t="shared" si="6"/>
        <v>('Incarcerated - SCI Albion',''),</v>
      </c>
    </row>
    <row r="425" spans="1:3" customFormat="1" hidden="1" x14ac:dyDescent="0.25">
      <c r="A425" s="1" t="s">
        <v>385</v>
      </c>
      <c r="C425" t="str">
        <f t="shared" si="6"/>
        <v>('Incarcerated - SCI Chester',''),</v>
      </c>
    </row>
    <row r="426" spans="1:3" customFormat="1" hidden="1" x14ac:dyDescent="0.25">
      <c r="A426" s="1" t="s">
        <v>386</v>
      </c>
      <c r="C426" t="str">
        <f t="shared" si="6"/>
        <v>('Incarcerated SCI Rockview',''),</v>
      </c>
    </row>
    <row r="427" spans="1:3" customFormat="1" ht="30" hidden="1" x14ac:dyDescent="0.25">
      <c r="A427" s="1" t="s">
        <v>387</v>
      </c>
      <c r="C427" t="str">
        <f t="shared" si="6"/>
        <v>('INCLUDE MIDDLE IN MAIL- SON SHARES SAME NAME AND LIVES AT HOME- MIDDLE INITIAL TO I.D. CLIENT',''),</v>
      </c>
    </row>
    <row r="428" spans="1:3" customFormat="1" hidden="1" x14ac:dyDescent="0.25">
      <c r="A428" s="1" t="s">
        <v>388</v>
      </c>
      <c r="C428" t="str">
        <f t="shared" si="6"/>
        <v>('Ineligible for IRRP program',''),</v>
      </c>
    </row>
    <row r="429" spans="1:3" customFormat="1" hidden="1" x14ac:dyDescent="0.25">
      <c r="A429" s="1" t="s">
        <v>389</v>
      </c>
      <c r="C429" t="str">
        <f t="shared" si="6"/>
        <v>('Ineligible For IVCP',''),</v>
      </c>
    </row>
    <row r="430" spans="1:3" customFormat="1" hidden="1" x14ac:dyDescent="0.25">
      <c r="A430" s="1" t="s">
        <v>390</v>
      </c>
      <c r="C430" t="str">
        <f t="shared" si="6"/>
        <v>('Ineligible for program',''),</v>
      </c>
    </row>
    <row r="431" spans="1:3" customFormat="1" hidden="1" x14ac:dyDescent="0.25">
      <c r="A431" s="1" t="s">
        <v>391</v>
      </c>
      <c r="C431" t="str">
        <f t="shared" si="6"/>
        <v>('Ineligible IRCP',''),</v>
      </c>
    </row>
    <row r="432" spans="1:3" customFormat="1" hidden="1" x14ac:dyDescent="0.25">
      <c r="A432" s="1" t="s">
        <v>392</v>
      </c>
      <c r="C432" t="str">
        <f t="shared" si="6"/>
        <v>('INELIGIBLE TO RECEIVE SETTLEMENT FUNDS',''),</v>
      </c>
    </row>
    <row r="433" spans="1:3" customFormat="1" hidden="1" x14ac:dyDescent="0.25">
      <c r="A433" s="1" t="s">
        <v>393</v>
      </c>
      <c r="C433" t="str">
        <f t="shared" si="6"/>
        <v>('INJECTIONS AND/OR SURGERY PERFORMED',''),</v>
      </c>
    </row>
    <row r="434" spans="1:3" customFormat="1" hidden="1" x14ac:dyDescent="0.25">
      <c r="A434" s="1" t="s">
        <v>394</v>
      </c>
      <c r="C434" t="str">
        <f t="shared" si="6"/>
        <v>('Inmate # 1177536',''),</v>
      </c>
    </row>
    <row r="435" spans="1:3" customFormat="1" hidden="1" x14ac:dyDescent="0.25">
      <c r="A435" s="1" t="s">
        <v>395</v>
      </c>
      <c r="C435" t="str">
        <f t="shared" si="6"/>
        <v>('Insight through Virtua Primary Care',''),</v>
      </c>
    </row>
    <row r="436" spans="1:3" customFormat="1" hidden="1" x14ac:dyDescent="0.25">
      <c r="A436" s="1" t="s">
        <v>396</v>
      </c>
      <c r="C436" t="str">
        <f t="shared" si="6"/>
        <v>('IN-SUIT',''),</v>
      </c>
    </row>
    <row r="437" spans="1:3" customFormat="1" hidden="1" x14ac:dyDescent="0.25">
      <c r="A437" s="1" t="s">
        <v>397</v>
      </c>
      <c r="C437" t="str">
        <f t="shared" si="6"/>
        <v>('IN-SUIT GMS SFC',''),</v>
      </c>
    </row>
    <row r="438" spans="1:3" customFormat="1" hidden="1" x14ac:dyDescent="0.25">
      <c r="A438" s="1" t="s">
        <v>398</v>
      </c>
      <c r="C438" t="str">
        <f t="shared" si="6"/>
        <v>('In-suit Writ of Summons',''),</v>
      </c>
    </row>
    <row r="439" spans="1:3" customFormat="1" hidden="1" x14ac:dyDescent="0.25">
      <c r="A439" s="1" t="s">
        <v>399</v>
      </c>
      <c r="C439" t="str">
        <f t="shared" si="6"/>
        <v>('Interested in Counseling',''),</v>
      </c>
    </row>
    <row r="440" spans="1:3" customFormat="1" hidden="1" x14ac:dyDescent="0.25">
      <c r="A440" s="1" t="s">
        <v>400</v>
      </c>
      <c r="C440" t="str">
        <f t="shared" si="6"/>
        <v>('International Client',''),</v>
      </c>
    </row>
    <row r="441" spans="1:3" customFormat="1" hidden="1" x14ac:dyDescent="0.25">
      <c r="A441" s="1" t="s">
        <v>401</v>
      </c>
      <c r="C441" t="str">
        <f t="shared" si="6"/>
        <v>('Isaacs Foster Home',''),</v>
      </c>
    </row>
    <row r="442" spans="1:3" customFormat="1" hidden="1" x14ac:dyDescent="0.25">
      <c r="A442" s="1" t="s">
        <v>402</v>
      </c>
      <c r="C442" t="str">
        <f t="shared" si="6"/>
        <v>('JAA Referral',''),</v>
      </c>
    </row>
    <row r="443" spans="1:3" customFormat="1" hidden="1" x14ac:dyDescent="0.25">
      <c r="A443" s="1" t="s">
        <v>403</v>
      </c>
      <c r="C443" t="str">
        <f t="shared" si="6"/>
        <v>('JAA/Greg Referral',''),</v>
      </c>
    </row>
    <row r="444" spans="1:3" customFormat="1" hidden="1" x14ac:dyDescent="0.25">
      <c r="A444" s="3" t="s">
        <v>404</v>
      </c>
      <c r="C444" t="str">
        <f t="shared" si="6"/>
        <v>('Jamesburg Training School for Boys',''),</v>
      </c>
    </row>
    <row r="445" spans="1:3" customFormat="1" hidden="1" x14ac:dyDescent="0.25">
      <c r="A445" s="1" t="s">
        <v>405</v>
      </c>
      <c r="C445" t="str">
        <f t="shared" si="6"/>
        <v>('JB + DP',''),</v>
      </c>
    </row>
    <row r="446" spans="1:3" customFormat="1" hidden="1" x14ac:dyDescent="0.25">
      <c r="A446" s="1" t="s">
        <v>406</v>
      </c>
      <c r="C446" t="str">
        <f t="shared" si="6"/>
        <v>('JCC',''),</v>
      </c>
    </row>
    <row r="447" spans="1:3" customFormat="1" hidden="1" x14ac:dyDescent="0.25">
      <c r="A447" s="1" t="s">
        <v>407</v>
      </c>
      <c r="C447" t="str">
        <f t="shared" si="6"/>
        <v>('Jefferson Abington Hospital',''),</v>
      </c>
    </row>
    <row r="448" spans="1:3" customFormat="1" hidden="1" x14ac:dyDescent="0.25">
      <c r="A448" s="3" t="s">
        <v>408</v>
      </c>
      <c r="C448" t="str">
        <f t="shared" si="6"/>
        <v>('Jehovahs Witness',''),</v>
      </c>
    </row>
    <row r="449" spans="1:3" customFormat="1" hidden="1" x14ac:dyDescent="0.25">
      <c r="A449" s="3" t="s">
        <v>408</v>
      </c>
      <c r="C449" t="str">
        <f t="shared" si="6"/>
        <v>('Jehovahs Witness',''),</v>
      </c>
    </row>
    <row r="450" spans="1:3" customFormat="1" hidden="1" x14ac:dyDescent="0.25">
      <c r="A450" s="3" t="s">
        <v>408</v>
      </c>
      <c r="C450" t="str">
        <f t="shared" si="6"/>
        <v>('Jehovahs Witness',''),</v>
      </c>
    </row>
    <row r="451" spans="1:3" customFormat="1" hidden="1" x14ac:dyDescent="0.25">
      <c r="A451" s="3" t="s">
        <v>408</v>
      </c>
      <c r="C451" t="str">
        <f t="shared" ref="C451:C514" si="7">"('"&amp;A451&amp;"','"&amp;B451&amp;"'),"</f>
        <v>('Jehovahs Witness',''),</v>
      </c>
    </row>
    <row r="452" spans="1:3" customFormat="1" hidden="1" x14ac:dyDescent="0.25">
      <c r="A452" s="1" t="s">
        <v>409</v>
      </c>
      <c r="C452" t="str">
        <f t="shared" si="7"/>
        <v>('John Cuff's brother',''),</v>
      </c>
    </row>
    <row r="453" spans="1:3" customFormat="1" hidden="1" x14ac:dyDescent="0.25">
      <c r="A453" s="1" t="s">
        <v>410</v>
      </c>
      <c r="C453" t="str">
        <f t="shared" si="7"/>
        <v>('John Falciani Referral',''),</v>
      </c>
    </row>
    <row r="454" spans="1:3" customFormat="1" hidden="1" x14ac:dyDescent="0.25">
      <c r="A454" s="1" t="s">
        <v>411</v>
      </c>
      <c r="C454" t="str">
        <f t="shared" si="7"/>
        <v>('John likes',''),</v>
      </c>
    </row>
    <row r="455" spans="1:3" customFormat="1" hidden="1" x14ac:dyDescent="0.25">
      <c r="A455" s="1" t="s">
        <v>412</v>
      </c>
      <c r="C455" t="str">
        <f t="shared" si="7"/>
        <v>('John Wieder Esq. Referral',''),</v>
      </c>
    </row>
    <row r="456" spans="1:3" customFormat="1" hidden="1" x14ac:dyDescent="0.25">
      <c r="A456" s="1" t="s">
        <v>413</v>
      </c>
      <c r="C456" t="str">
        <f t="shared" si="7"/>
        <v>('Joseph C. Caruso',''),</v>
      </c>
    </row>
    <row r="457" spans="1:3" customFormat="1" hidden="1" x14ac:dyDescent="0.25">
      <c r="A457" s="1" t="s">
        <v>414</v>
      </c>
      <c r="C457" t="str">
        <f t="shared" si="7"/>
        <v>('Joseph Traub Referral',''),</v>
      </c>
    </row>
    <row r="458" spans="1:3" customFormat="1" hidden="1" x14ac:dyDescent="0.25">
      <c r="A458" s="1" t="s">
        <v>415</v>
      </c>
      <c r="C458" t="str">
        <f t="shared" si="7"/>
        <v>('JR Masterman School',''),</v>
      </c>
    </row>
    <row r="459" spans="1:3" customFormat="1" hidden="1" x14ac:dyDescent="0.25">
      <c r="A459" s="3" t="s">
        <v>416</v>
      </c>
      <c r="C459" t="str">
        <f t="shared" si="7"/>
        <v>('Juvenile Justice Services Center',''),</v>
      </c>
    </row>
    <row r="460" spans="1:3" customFormat="1" hidden="1" x14ac:dyDescent="0.25">
      <c r="A460" s="3" t="s">
        <v>417</v>
      </c>
      <c r="C460" t="str">
        <f t="shared" si="7"/>
        <v>('Juvenile Medium Security Facility',''),</v>
      </c>
    </row>
    <row r="461" spans="1:3" customFormat="1" hidden="1" x14ac:dyDescent="0.25">
      <c r="A461" s="1" t="s">
        <v>418</v>
      </c>
      <c r="C461" t="str">
        <f t="shared" si="7"/>
        <v>('KEEP CONFIDENTIAL',''),</v>
      </c>
    </row>
    <row r="462" spans="1:3" customFormat="1" hidden="1" x14ac:dyDescent="0.25">
      <c r="A462" s="1" t="s">
        <v>419</v>
      </c>
      <c r="C462" t="str">
        <f t="shared" si="7"/>
        <v>('Keystone Adolescent Center',''),</v>
      </c>
    </row>
    <row r="463" spans="1:3" customFormat="1" hidden="1" x14ac:dyDescent="0.25">
      <c r="A463" s="3" t="s">
        <v>420</v>
      </c>
      <c r="C463" t="str">
        <f t="shared" si="7"/>
        <v>('KidsPeace',''),</v>
      </c>
    </row>
    <row r="464" spans="1:3" customFormat="1" hidden="1" x14ac:dyDescent="0.25">
      <c r="A464" s="3" t="s">
        <v>420</v>
      </c>
      <c r="C464" t="str">
        <f t="shared" si="7"/>
        <v>('KidsPeace',''),</v>
      </c>
    </row>
    <row r="465" spans="1:3" customFormat="1" hidden="1" x14ac:dyDescent="0.25">
      <c r="A465" s="1" t="s">
        <v>421</v>
      </c>
      <c r="C465" t="str">
        <f t="shared" si="7"/>
        <v>('Kingdom Life Childcare',''),</v>
      </c>
    </row>
    <row r="466" spans="1:3" customFormat="1" hidden="1" x14ac:dyDescent="0.25">
      <c r="A466" s="1" t="s">
        <v>422</v>
      </c>
      <c r="C466" t="str">
        <f t="shared" si="7"/>
        <v>('Knights of Columbus',''),</v>
      </c>
    </row>
    <row r="467" spans="1:3" customFormat="1" hidden="1" x14ac:dyDescent="0.25">
      <c r="A467" s="1" t="s">
        <v>423</v>
      </c>
      <c r="C467" t="str">
        <f t="shared" si="7"/>
        <v>('Kwartler Manus Referral',''),</v>
      </c>
    </row>
    <row r="468" spans="1:3" customFormat="1" hidden="1" x14ac:dyDescent="0.25">
      <c r="A468" s="1" t="s">
        <v>424</v>
      </c>
      <c r="C468" t="str">
        <f t="shared" si="7"/>
        <v>('Lackawanna County Children's Services',''),</v>
      </c>
    </row>
    <row r="469" spans="1:3" customFormat="1" hidden="1" x14ac:dyDescent="0.25">
      <c r="A469" s="1" t="s">
        <v>425</v>
      </c>
      <c r="C469" t="str">
        <f t="shared" si="7"/>
        <v>('Lackawanna County Juvenile Detention',''),</v>
      </c>
    </row>
    <row r="470" spans="1:3" customFormat="1" hidden="1" x14ac:dyDescent="0.25">
      <c r="A470" s="1" t="s">
        <v>426</v>
      </c>
      <c r="C470" t="str">
        <f t="shared" si="7"/>
        <v>('Lancaster County',''),</v>
      </c>
    </row>
    <row r="471" spans="1:3" customFormat="1" hidden="1" x14ac:dyDescent="0.25">
      <c r="A471" s="1" t="s">
        <v>427</v>
      </c>
      <c r="C471" t="str">
        <f t="shared" si="7"/>
        <v>('Lancaster County Juvenile Detention',''),</v>
      </c>
    </row>
    <row r="472" spans="1:3" customFormat="1" hidden="1" x14ac:dyDescent="0.25">
      <c r="A472" s="1" t="s">
        <v>428</v>
      </c>
      <c r="C472" t="str">
        <f t="shared" si="7"/>
        <v>('Lancaster Youth Intervention Center',''),</v>
      </c>
    </row>
    <row r="473" spans="1:3" customFormat="1" hidden="1" x14ac:dyDescent="0.25">
      <c r="A473" s="1" t="s">
        <v>429</v>
      </c>
      <c r="C473" t="str">
        <f t="shared" si="7"/>
        <v>('LATE FILER',''),</v>
      </c>
    </row>
    <row r="474" spans="1:3" customFormat="1" hidden="1" x14ac:dyDescent="0.25">
      <c r="A474" s="1" t="s">
        <v>430</v>
      </c>
      <c r="C474" t="str">
        <f t="shared" si="7"/>
        <v>('Laura Ahearn Referral',''),</v>
      </c>
    </row>
    <row r="475" spans="1:3" customFormat="1" hidden="1" x14ac:dyDescent="0.25">
      <c r="A475" s="1" t="s">
        <v>431</v>
      </c>
      <c r="C475" t="str">
        <f t="shared" si="7"/>
        <v>('LawCash/Cartiga',''),</v>
      </c>
    </row>
    <row r="476" spans="1:3" customFormat="1" hidden="1" x14ac:dyDescent="0.25">
      <c r="A476" s="1" t="s">
        <v>432</v>
      </c>
      <c r="C476" t="str">
        <f t="shared" si="7"/>
        <v>('Lay Person',''),</v>
      </c>
    </row>
    <row r="477" spans="1:3" customFormat="1" hidden="1" x14ac:dyDescent="0.25">
      <c r="A477" s="1" t="s">
        <v>433</v>
      </c>
      <c r="C477" t="str">
        <f t="shared" si="7"/>
        <v>('LBFR Call In',''),</v>
      </c>
    </row>
    <row r="478" spans="1:3" customFormat="1" hidden="1" x14ac:dyDescent="0.25">
      <c r="A478" s="1" t="s">
        <v>434</v>
      </c>
      <c r="C478" t="str">
        <f t="shared" si="7"/>
        <v>('LBFR Call-In',''),</v>
      </c>
    </row>
    <row r="479" spans="1:3" customFormat="1" hidden="1" x14ac:dyDescent="0.25">
      <c r="A479" s="1" t="s">
        <v>435</v>
      </c>
      <c r="C479" t="str">
        <f t="shared" si="7"/>
        <v>('Legal Bay Funding LLC',''),</v>
      </c>
    </row>
    <row r="480" spans="1:3" customFormat="1" hidden="1" x14ac:dyDescent="0.25">
      <c r="A480" s="1" t="s">
        <v>436</v>
      </c>
      <c r="C480" t="str">
        <f t="shared" si="7"/>
        <v>('Lehigh County Facility',''),</v>
      </c>
    </row>
    <row r="481" spans="1:3" customFormat="1" hidden="1" x14ac:dyDescent="0.25">
      <c r="A481" s="1" t="s">
        <v>437</v>
      </c>
      <c r="C481" t="str">
        <f t="shared" si="7"/>
        <v>('Leonia BOE',''),</v>
      </c>
    </row>
    <row r="482" spans="1:3" customFormat="1" hidden="1" x14ac:dyDescent="0.25">
      <c r="A482" s="1" t="s">
        <v>438</v>
      </c>
      <c r="C482" t="str">
        <f t="shared" si="7"/>
        <v>('Letter of Protection',''),</v>
      </c>
    </row>
    <row r="483" spans="1:3" customFormat="1" hidden="1" x14ac:dyDescent="0.25">
      <c r="A483" s="1" t="s">
        <v>439</v>
      </c>
      <c r="C483" t="str">
        <f t="shared" si="7"/>
        <v>('LEVEL 1',''),</v>
      </c>
    </row>
    <row r="484" spans="1:3" customFormat="1" hidden="1" x14ac:dyDescent="0.25">
      <c r="A484" s="1" t="s">
        <v>440</v>
      </c>
      <c r="C484" t="str">
        <f t="shared" si="7"/>
        <v>('LEVEL 1 - SUPPLEMENTAL BENEFITS',''),</v>
      </c>
    </row>
    <row r="485" spans="1:3" customFormat="1" hidden="1" x14ac:dyDescent="0.25">
      <c r="A485" s="1" t="s">
        <v>441</v>
      </c>
      <c r="C485" t="str">
        <f t="shared" si="7"/>
        <v>('Level 1 QD',''),</v>
      </c>
    </row>
    <row r="486" spans="1:3" customFormat="1" hidden="1" x14ac:dyDescent="0.25">
      <c r="A486" s="1" t="s">
        <v>442</v>
      </c>
      <c r="C486" t="str">
        <f t="shared" si="7"/>
        <v>('Levinson Axelrod Referral',''),</v>
      </c>
    </row>
    <row r="487" spans="1:3" customFormat="1" hidden="1" x14ac:dyDescent="0.25">
      <c r="A487" s="1" t="s">
        <v>443</v>
      </c>
      <c r="C487" t="str">
        <f t="shared" si="7"/>
        <v>('Levy Konigsberg Ref',''),</v>
      </c>
    </row>
    <row r="488" spans="1:3" customFormat="1" hidden="1" x14ac:dyDescent="0.25">
      <c r="A488" s="3" t="s">
        <v>444</v>
      </c>
      <c r="C488" t="str">
        <f t="shared" si="7"/>
        <v>('Lima Detention Center',''),</v>
      </c>
    </row>
    <row r="489" spans="1:3" customFormat="1" hidden="1" x14ac:dyDescent="0.25">
      <c r="A489" s="1" t="s">
        <v>445</v>
      </c>
      <c r="C489" t="str">
        <f t="shared" si="7"/>
        <v>('Lima Detention Center -TD',''),</v>
      </c>
    </row>
    <row r="490" spans="1:3" customFormat="1" hidden="1" x14ac:dyDescent="0.25">
      <c r="A490" s="1" t="s">
        <v>446</v>
      </c>
      <c r="C490" t="str">
        <f t="shared" si="7"/>
        <v>('LIMITED TORT/LIMITATION ON LAWSUIT',''),</v>
      </c>
    </row>
    <row r="491" spans="1:3" customFormat="1" hidden="1" x14ac:dyDescent="0.25">
      <c r="A491" s="1" t="s">
        <v>447</v>
      </c>
      <c r="C491" t="str">
        <f t="shared" si="7"/>
        <v>('Lisa Carcel's sister',''),</v>
      </c>
    </row>
    <row r="492" spans="1:3" customFormat="1" hidden="1" x14ac:dyDescent="0.25">
      <c r="A492" s="1" t="s">
        <v>448</v>
      </c>
      <c r="C492" t="str">
        <f t="shared" si="7"/>
        <v>('Lisa Dorn (Derivative Claimant)',''),</v>
      </c>
    </row>
    <row r="493" spans="1:3" customFormat="1" hidden="1" x14ac:dyDescent="0.25">
      <c r="A493" s="3" t="s">
        <v>449</v>
      </c>
      <c r="C493" t="str">
        <f t="shared" si="7"/>
        <v>('Little League Coach',''),</v>
      </c>
    </row>
    <row r="494" spans="1:3" customFormat="1" ht="30" hidden="1" x14ac:dyDescent="0.25">
      <c r="A494" s="1" t="s">
        <v>450</v>
      </c>
      <c r="C494" t="str">
        <f t="shared" si="7"/>
        <v>('LIVES WITH MOTHER- SEND ALL CORRESPONDENCE TO PRIVATE MAIL BOX!!',''),</v>
      </c>
    </row>
    <row r="495" spans="1:3" customFormat="1" hidden="1" x14ac:dyDescent="0.25">
      <c r="A495" s="1" t="s">
        <v>451</v>
      </c>
      <c r="C495" t="str">
        <f t="shared" si="7"/>
        <v>('LOAN',''),</v>
      </c>
    </row>
    <row r="496" spans="1:3" customFormat="1" hidden="1" x14ac:dyDescent="0.25">
      <c r="A496" s="1" t="s">
        <v>452</v>
      </c>
      <c r="C496" t="str">
        <f t="shared" si="7"/>
        <v>('LOP to crim defense atty',''),</v>
      </c>
    </row>
    <row r="497" spans="1:3" customFormat="1" hidden="1" x14ac:dyDescent="0.25">
      <c r="A497" s="1" t="s">
        <v>453</v>
      </c>
      <c r="C497" t="str">
        <f t="shared" si="7"/>
        <v>('Loysville Youth Development Center',''),</v>
      </c>
    </row>
    <row r="498" spans="1:3" customFormat="1" hidden="1" x14ac:dyDescent="0.25">
      <c r="A498" s="1" t="s">
        <v>454</v>
      </c>
      <c r="C498" t="str">
        <f t="shared" si="7"/>
        <v>('MAF',''),</v>
      </c>
    </row>
    <row r="499" spans="1:3" customFormat="1" hidden="1" x14ac:dyDescent="0.25">
      <c r="A499" s="1" t="s">
        <v>455</v>
      </c>
      <c r="C499" t="str">
        <f t="shared" si="7"/>
        <v>('MAF - NO QD',''),</v>
      </c>
    </row>
    <row r="500" spans="1:3" customFormat="1" hidden="1" x14ac:dyDescent="0.25">
      <c r="A500" s="1" t="s">
        <v>456</v>
      </c>
      <c r="C500" t="str">
        <f t="shared" si="7"/>
        <v>('Maguire AFB',''),</v>
      </c>
    </row>
    <row r="501" spans="1:3" customFormat="1" hidden="1" x14ac:dyDescent="0.25">
      <c r="A501" s="1" t="s">
        <v>457</v>
      </c>
      <c r="C501" t="str">
        <f t="shared" si="7"/>
        <v>('Malvern Treatment Center',''),</v>
      </c>
    </row>
    <row r="502" spans="1:3" customFormat="1" hidden="1" x14ac:dyDescent="0.25">
      <c r="A502" s="1" t="s">
        <v>458</v>
      </c>
      <c r="C502" t="str">
        <f t="shared" si="7"/>
        <v>('Mander Summer Camp',''),</v>
      </c>
    </row>
    <row r="503" spans="1:3" customFormat="1" hidden="1" x14ac:dyDescent="0.25">
      <c r="A503" s="1" t="s">
        <v>459</v>
      </c>
      <c r="C503" t="str">
        <f t="shared" si="7"/>
        <v>('Marcus',''),</v>
      </c>
    </row>
    <row r="504" spans="1:3" customFormat="1" hidden="1" x14ac:dyDescent="0.25">
      <c r="A504" s="1" t="s">
        <v>460</v>
      </c>
      <c r="C504" t="str">
        <f t="shared" si="7"/>
        <v>('Marist Brothers',''),</v>
      </c>
    </row>
    <row r="505" spans="1:3" customFormat="1" hidden="1" x14ac:dyDescent="0.25">
      <c r="A505" s="1" t="s">
        <v>461</v>
      </c>
      <c r="C505" t="str">
        <f t="shared" si="7"/>
        <v>('Martin Luther King High School',''),</v>
      </c>
    </row>
    <row r="506" spans="1:3" customFormat="1" hidden="1" x14ac:dyDescent="0.25">
      <c r="A506" s="1" t="s">
        <v>462</v>
      </c>
      <c r="C506" t="str">
        <f t="shared" si="7"/>
        <v>('Matt Solomon Referral',''),</v>
      </c>
    </row>
    <row r="507" spans="1:3" customFormat="1" hidden="1" x14ac:dyDescent="0.25">
      <c r="A507" s="1" t="s">
        <v>463</v>
      </c>
      <c r="C507" t="str">
        <f t="shared" si="7"/>
        <v>('Medicaid',''),</v>
      </c>
    </row>
    <row r="508" spans="1:3" customFormat="1" hidden="1" x14ac:dyDescent="0.25">
      <c r="A508" s="1" t="s">
        <v>464</v>
      </c>
      <c r="C508" t="str">
        <f t="shared" si="7"/>
        <v>('Medical Treatment',''),</v>
      </c>
    </row>
    <row r="509" spans="1:3" customFormat="1" hidden="1" x14ac:dyDescent="0.25">
      <c r="A509" s="1" t="s">
        <v>465</v>
      </c>
      <c r="C509" t="str">
        <f t="shared" si="7"/>
        <v>('Medicare LIEN',''),</v>
      </c>
    </row>
    <row r="510" spans="1:3" customFormat="1" hidden="1" x14ac:dyDescent="0.25">
      <c r="A510" s="1" t="s">
        <v>466</v>
      </c>
      <c r="C510" t="str">
        <f t="shared" si="7"/>
        <v>('Mental Health and Mental Retardation (MHR)',''),</v>
      </c>
    </row>
    <row r="511" spans="1:3" customFormat="1" hidden="1" x14ac:dyDescent="0.25">
      <c r="A511" s="1" t="s">
        <v>467</v>
      </c>
      <c r="C511" t="str">
        <f t="shared" si="7"/>
        <v>('MENTION LEVY BALDANTE WHEN CALLING DO NOT MENTION CASE',''),</v>
      </c>
    </row>
    <row r="512" spans="1:3" customFormat="1" hidden="1" x14ac:dyDescent="0.25">
      <c r="A512" s="1" t="s">
        <v>468</v>
      </c>
      <c r="C512" t="str">
        <f t="shared" si="7"/>
        <v>('Messiah's Light House',''),</v>
      </c>
    </row>
    <row r="513" spans="1:3" customFormat="1" hidden="1" x14ac:dyDescent="0.25">
      <c r="A513" s="3" t="s">
        <v>469</v>
      </c>
      <c r="C513" t="str">
        <f t="shared" si="7"/>
        <v>('Metuchen',''),</v>
      </c>
    </row>
    <row r="514" spans="1:3" customFormat="1" hidden="1" x14ac:dyDescent="0.25">
      <c r="A514" s="3" t="s">
        <v>469</v>
      </c>
      <c r="C514" t="str">
        <f t="shared" si="7"/>
        <v>('Metuchen',''),</v>
      </c>
    </row>
    <row r="515" spans="1:3" customFormat="1" hidden="1" x14ac:dyDescent="0.25">
      <c r="A515" s="1" t="s">
        <v>470</v>
      </c>
      <c r="C515" t="str">
        <f t="shared" ref="C515:C578" si="8">"('"&amp;A515&amp;"','"&amp;B515&amp;"'),"</f>
        <v>('MHY Family Services',''),</v>
      </c>
    </row>
    <row r="516" spans="1:3" customFormat="1" hidden="1" x14ac:dyDescent="0.25">
      <c r="A516" s="1" t="s">
        <v>471</v>
      </c>
      <c r="C516" t="str">
        <f t="shared" si="8"/>
        <v>('Michigan',''),</v>
      </c>
    </row>
    <row r="517" spans="1:3" customFormat="1" hidden="1" x14ac:dyDescent="0.25">
      <c r="A517" s="3" t="s">
        <v>472</v>
      </c>
      <c r="C517" t="str">
        <f t="shared" si="8"/>
        <v>('Middlesex County Jail',''),</v>
      </c>
    </row>
    <row r="518" spans="1:3" customFormat="1" hidden="1" x14ac:dyDescent="0.25">
      <c r="A518" s="1" t="s">
        <v>473</v>
      </c>
      <c r="C518" t="str">
        <f t="shared" si="8"/>
        <v>('Middlesex County Shelter',''),</v>
      </c>
    </row>
    <row r="519" spans="1:3" customFormat="1" hidden="1" x14ac:dyDescent="0.25">
      <c r="A519" s="1" t="s">
        <v>474</v>
      </c>
      <c r="C519" t="str">
        <f t="shared" si="8"/>
        <v>('Middlesex County Youth Services',''),</v>
      </c>
    </row>
    <row r="520" spans="1:3" customFormat="1" hidden="1" x14ac:dyDescent="0.25">
      <c r="A520" s="1" t="s">
        <v>475</v>
      </c>
      <c r="C520" t="str">
        <f t="shared" si="8"/>
        <v>('MINOR',''),</v>
      </c>
    </row>
    <row r="521" spans="1:3" customFormat="1" hidden="1" x14ac:dyDescent="0.25">
      <c r="A521" s="1" t="s">
        <v>476</v>
      </c>
      <c r="C521" t="str">
        <f t="shared" si="8"/>
        <v>('Minor- Misc.',''),</v>
      </c>
    </row>
    <row r="522" spans="1:3" customFormat="1" hidden="1" x14ac:dyDescent="0.25">
      <c r="A522" s="1" t="s">
        <v>477</v>
      </c>
      <c r="C522" t="str">
        <f t="shared" si="8"/>
        <v>('Missed TA client',''),</v>
      </c>
    </row>
    <row r="523" spans="1:3" customFormat="1" hidden="1" x14ac:dyDescent="0.25">
      <c r="A523" s="1" t="s">
        <v>478</v>
      </c>
      <c r="C523" t="str">
        <f t="shared" si="8"/>
        <v>('Missing CLG File',''),</v>
      </c>
    </row>
    <row r="524" spans="1:3" customFormat="1" hidden="1" x14ac:dyDescent="0.25">
      <c r="A524" s="1" t="s">
        <v>479</v>
      </c>
      <c r="C524" t="str">
        <f t="shared" si="8"/>
        <v>('MJ DOE v. Devereux',''),</v>
      </c>
    </row>
    <row r="525" spans="1:3" customFormat="1" hidden="1" x14ac:dyDescent="0.25">
      <c r="A525" s="3" t="s">
        <v>480</v>
      </c>
      <c r="C525" t="str">
        <f t="shared" si="8"/>
        <v>('Monmouth County Juvenile',''),</v>
      </c>
    </row>
    <row r="526" spans="1:3" customFormat="1" hidden="1" x14ac:dyDescent="0.25">
      <c r="A526" s="3" t="s">
        <v>481</v>
      </c>
      <c r="C526" t="str">
        <f t="shared" si="8"/>
        <v>('Monsignor Bonner &amp; Archbishop Prendergast Catholic High School',''),</v>
      </c>
    </row>
    <row r="527" spans="1:3" customFormat="1" hidden="1" x14ac:dyDescent="0.25">
      <c r="A527" s="3" t="s">
        <v>481</v>
      </c>
      <c r="C527" t="str">
        <f t="shared" si="8"/>
        <v>('Monsignor Bonner &amp; Archbishop Prendergast Catholic High School',''),</v>
      </c>
    </row>
    <row r="528" spans="1:3" customFormat="1" hidden="1" x14ac:dyDescent="0.25">
      <c r="A528" s="3" t="s">
        <v>482</v>
      </c>
      <c r="C528" t="str">
        <f t="shared" si="8"/>
        <v>('Montgomery County Youth Center',''),</v>
      </c>
    </row>
    <row r="529" spans="1:3" customFormat="1" hidden="1" x14ac:dyDescent="0.25">
      <c r="A529" s="3" t="s">
        <v>483</v>
      </c>
      <c r="C529" t="str">
        <f t="shared" si="8"/>
        <v>('Montgomery County Youth Correctional Facility',''),</v>
      </c>
    </row>
    <row r="530" spans="1:3" customFormat="1" hidden="1" x14ac:dyDescent="0.25">
      <c r="A530" s="3" t="s">
        <v>484</v>
      </c>
      <c r="C530" t="str">
        <f t="shared" si="8"/>
        <v>('Montgomery Youth Center',''),</v>
      </c>
    </row>
    <row r="531" spans="1:3" customFormat="1" hidden="1" x14ac:dyDescent="0.25">
      <c r="A531" s="3" t="s">
        <v>485</v>
      </c>
      <c r="C531" t="str">
        <f t="shared" si="8"/>
        <v>('Morris County Juvenile Detention Center',''),</v>
      </c>
    </row>
    <row r="532" spans="1:3" customFormat="1" hidden="1" x14ac:dyDescent="0.25">
      <c r="A532" s="1" t="s">
        <v>486</v>
      </c>
      <c r="C532" t="str">
        <f t="shared" si="8"/>
        <v>('Mt. Airy Playground Rec Center',''),</v>
      </c>
    </row>
    <row r="533" spans="1:3" customFormat="1" hidden="1" x14ac:dyDescent="0.25">
      <c r="A533" s="1" t="s">
        <v>487</v>
      </c>
      <c r="C533" t="str">
        <f t="shared" si="8"/>
        <v>('MUST BE FILED AS JOHN DOE',''),</v>
      </c>
    </row>
    <row r="534" spans="1:3" customFormat="1" hidden="1" x14ac:dyDescent="0.25">
      <c r="A534" s="1" t="s">
        <v>488</v>
      </c>
      <c r="C534" t="str">
        <f t="shared" si="8"/>
        <v>('mycase',''),</v>
      </c>
    </row>
    <row r="535" spans="1:3" customFormat="1" hidden="1" x14ac:dyDescent="0.25">
      <c r="A535" s="1" t="s">
        <v>489</v>
      </c>
      <c r="C535" t="str">
        <f t="shared" si="8"/>
        <v>('Nancy Sapp's Cousin',''),</v>
      </c>
    </row>
    <row r="536" spans="1:3" customFormat="1" hidden="1" x14ac:dyDescent="0.25">
      <c r="A536" s="1" t="s">
        <v>490</v>
      </c>
      <c r="C536" t="str">
        <f t="shared" si="8"/>
        <v>('Nancy Sapp's Sister',''),</v>
      </c>
    </row>
    <row r="537" spans="1:3" customFormat="1" hidden="1" x14ac:dyDescent="0.25">
      <c r="A537" s="1" t="s">
        <v>491</v>
      </c>
      <c r="C537" t="str">
        <f t="shared" si="8"/>
        <v>('Nancy Winkler at Eisenberg Rothweiler Referral',''),</v>
      </c>
    </row>
    <row r="538" spans="1:3" customFormat="1" hidden="1" x14ac:dyDescent="0.25">
      <c r="A538" s="1" t="s">
        <v>492</v>
      </c>
      <c r="C538" t="str">
        <f t="shared" si="8"/>
        <v>('Needs CDR',''),</v>
      </c>
    </row>
    <row r="539" spans="1:3" customFormat="1" hidden="1" x14ac:dyDescent="0.25">
      <c r="A539" s="1" t="s">
        <v>493</v>
      </c>
      <c r="C539" t="str">
        <f t="shared" si="8"/>
        <v>('New',''),</v>
      </c>
    </row>
    <row r="540" spans="1:3" customFormat="1" hidden="1" x14ac:dyDescent="0.25">
      <c r="A540" s="1" t="s">
        <v>494</v>
      </c>
      <c r="C540" t="str">
        <f t="shared" si="8"/>
        <v>('New Address 4184 Irish Highland Dr.',''),</v>
      </c>
    </row>
    <row r="541" spans="1:3" x14ac:dyDescent="0.25">
      <c r="A541" s="9" t="s">
        <v>495</v>
      </c>
      <c r="B541" s="8" t="s">
        <v>503</v>
      </c>
      <c r="C541" t="str">
        <f t="shared" si="8"/>
        <v>('New Jersey Training School','NJ'),</v>
      </c>
    </row>
    <row r="542" spans="1:3" x14ac:dyDescent="0.25">
      <c r="A542" s="9" t="s">
        <v>496</v>
      </c>
      <c r="B542" s="8" t="s">
        <v>503</v>
      </c>
      <c r="C542" t="str">
        <f t="shared" si="8"/>
        <v>('New Jersey Training School for boys','NJ'),</v>
      </c>
    </row>
    <row r="543" spans="1:3" customFormat="1" hidden="1" x14ac:dyDescent="0.25">
      <c r="A543" s="3" t="s">
        <v>497</v>
      </c>
      <c r="C543" t="str">
        <f t="shared" si="8"/>
        <v>('New Light Baptist',''),</v>
      </c>
    </row>
    <row r="544" spans="1:3" customFormat="1" hidden="1" x14ac:dyDescent="0.25">
      <c r="A544" s="3" t="s">
        <v>498</v>
      </c>
      <c r="C544" t="str">
        <f t="shared" si="8"/>
        <v>('Newark',''),</v>
      </c>
    </row>
    <row r="545" spans="1:3" customFormat="1" hidden="1" x14ac:dyDescent="0.25">
      <c r="A545" s="3" t="s">
        <v>498</v>
      </c>
      <c r="C545" t="str">
        <f t="shared" si="8"/>
        <v>('Newark',''),</v>
      </c>
    </row>
    <row r="546" spans="1:3" customFormat="1" hidden="1" x14ac:dyDescent="0.25">
      <c r="A546" s="3" t="s">
        <v>499</v>
      </c>
      <c r="C546" t="str">
        <f t="shared" si="8"/>
        <v>('Newark Ar',''),</v>
      </c>
    </row>
    <row r="547" spans="1:3" customFormat="1" hidden="1" x14ac:dyDescent="0.25">
      <c r="A547" s="3" t="s">
        <v>499</v>
      </c>
      <c r="C547" t="str">
        <f t="shared" si="8"/>
        <v>('Newark Ar',''),</v>
      </c>
    </row>
    <row r="548" spans="1:3" customFormat="1" hidden="1" x14ac:dyDescent="0.25">
      <c r="A548" s="3" t="s">
        <v>500</v>
      </c>
      <c r="C548" t="str">
        <f t="shared" si="8"/>
        <v>('Newark Archdiocese',''),</v>
      </c>
    </row>
    <row r="549" spans="1:3" customFormat="1" hidden="1" x14ac:dyDescent="0.25">
      <c r="A549" s="3" t="s">
        <v>500</v>
      </c>
      <c r="C549" t="str">
        <f t="shared" si="8"/>
        <v>('Newark Archdiocese',''),</v>
      </c>
    </row>
    <row r="550" spans="1:3" customFormat="1" hidden="1" x14ac:dyDescent="0.25">
      <c r="A550" s="1" t="s">
        <v>501</v>
      </c>
      <c r="C550" t="str">
        <f t="shared" si="8"/>
        <v>('Next Level Martial Arts',''),</v>
      </c>
    </row>
    <row r="551" spans="1:3" customFormat="1" hidden="1" x14ac:dyDescent="0.25">
      <c r="A551" s="1" t="s">
        <v>502</v>
      </c>
      <c r="C551" t="str">
        <f t="shared" si="8"/>
        <v>('NFL',''),</v>
      </c>
    </row>
    <row r="552" spans="1:3" x14ac:dyDescent="0.25">
      <c r="A552" s="9" t="s">
        <v>503</v>
      </c>
      <c r="B552" s="8" t="s">
        <v>503</v>
      </c>
      <c r="C552" t="str">
        <f t="shared" si="8"/>
        <v>('NJ','NJ'),</v>
      </c>
    </row>
    <row r="553" spans="1:3" x14ac:dyDescent="0.25">
      <c r="A553" s="9" t="s">
        <v>504</v>
      </c>
      <c r="B553" s="8" t="s">
        <v>503</v>
      </c>
      <c r="C553" t="str">
        <f t="shared" si="8"/>
        <v>('NJ  Claim','NJ'),</v>
      </c>
    </row>
    <row r="554" spans="1:3" x14ac:dyDescent="0.25">
      <c r="A554" s="9" t="s">
        <v>505</v>
      </c>
      <c r="B554" s="8" t="s">
        <v>503</v>
      </c>
      <c r="C554" t="str">
        <f t="shared" si="8"/>
        <v>('NJ - Non Catholic Church','NJ'),</v>
      </c>
    </row>
    <row r="555" spans="1:3" x14ac:dyDescent="0.25">
      <c r="A555" s="9" t="s">
        <v>506</v>
      </c>
      <c r="B555" s="8" t="s">
        <v>503</v>
      </c>
      <c r="C555" t="str">
        <f t="shared" si="8"/>
        <v>('NJ 3rd Party','NJ'),</v>
      </c>
    </row>
    <row r="556" spans="1:3" x14ac:dyDescent="0.25">
      <c r="A556" s="9" t="s">
        <v>507</v>
      </c>
      <c r="B556" s="8" t="s">
        <v>503</v>
      </c>
      <c r="C556" t="str">
        <f t="shared" si="8"/>
        <v>('NJ 3rd Party Case','NJ'),</v>
      </c>
    </row>
    <row r="557" spans="1:3" x14ac:dyDescent="0.25">
      <c r="A557" s="9" t="s">
        <v>508</v>
      </c>
      <c r="B557" s="8" t="s">
        <v>503</v>
      </c>
      <c r="C557" t="str">
        <f t="shared" si="8"/>
        <v>('NJ 3rd Party minor','NJ'),</v>
      </c>
    </row>
    <row r="558" spans="1:3" x14ac:dyDescent="0.25">
      <c r="A558" s="9" t="s">
        <v>509</v>
      </c>
      <c r="B558" s="8" t="s">
        <v>503</v>
      </c>
      <c r="C558" t="str">
        <f t="shared" si="8"/>
        <v>('NJ ADULT','NJ'),</v>
      </c>
    </row>
    <row r="559" spans="1:3" x14ac:dyDescent="0.25">
      <c r="A559" s="9" t="s">
        <v>510</v>
      </c>
      <c r="B559" s="8" t="s">
        <v>503</v>
      </c>
      <c r="C559" t="str">
        <f t="shared" si="8"/>
        <v>('NJ Adult Case','NJ'),</v>
      </c>
    </row>
    <row r="560" spans="1:3" x14ac:dyDescent="0.25">
      <c r="A560" s="9" t="s">
        <v>511</v>
      </c>
      <c r="B560" s="8" t="s">
        <v>503</v>
      </c>
      <c r="C560" t="str">
        <f t="shared" si="8"/>
        <v>('NJ Archdiocese','NJ'),</v>
      </c>
    </row>
    <row r="561" spans="1:3" x14ac:dyDescent="0.25">
      <c r="A561" s="9" t="s">
        <v>512</v>
      </c>
      <c r="B561" s="8" t="s">
        <v>503</v>
      </c>
      <c r="C561" t="str">
        <f t="shared" si="8"/>
        <v>('NJ Baptist Church','NJ'),</v>
      </c>
    </row>
    <row r="562" spans="1:3" x14ac:dyDescent="0.25">
      <c r="A562" s="9" t="s">
        <v>513</v>
      </c>
      <c r="B562" s="8" t="s">
        <v>503</v>
      </c>
      <c r="C562" t="str">
        <f t="shared" si="8"/>
        <v>('NJ Chuch','NJ'),</v>
      </c>
    </row>
    <row r="563" spans="1:3" x14ac:dyDescent="0.25">
      <c r="A563" s="9" t="s">
        <v>514</v>
      </c>
      <c r="B563" s="8" t="s">
        <v>503</v>
      </c>
      <c r="C563" t="str">
        <f t="shared" si="8"/>
        <v>('NJ Church','NJ'),</v>
      </c>
    </row>
    <row r="564" spans="1:3" x14ac:dyDescent="0.25">
      <c r="A564" s="9" t="s">
        <v>515</v>
      </c>
      <c r="B564" s="8" t="s">
        <v>503</v>
      </c>
      <c r="C564" t="str">
        <f t="shared" si="8"/>
        <v>('NJ Church Claim','NJ'),</v>
      </c>
    </row>
    <row r="565" spans="1:3" x14ac:dyDescent="0.25">
      <c r="A565" s="9" t="s">
        <v>516</v>
      </c>
      <c r="B565" s="8" t="s">
        <v>503</v>
      </c>
      <c r="C565" t="str">
        <f t="shared" si="8"/>
        <v>('NJ Crossover','NJ'),</v>
      </c>
    </row>
    <row r="566" spans="1:3" x14ac:dyDescent="0.25">
      <c r="A566" s="9" t="s">
        <v>517</v>
      </c>
      <c r="B566" s="8" t="s">
        <v>503</v>
      </c>
      <c r="C566" t="str">
        <f t="shared" si="8"/>
        <v>('NJ Crossover Case','NJ'),</v>
      </c>
    </row>
    <row r="567" spans="1:3" x14ac:dyDescent="0.25">
      <c r="A567" s="9" t="s">
        <v>518</v>
      </c>
      <c r="B567" s="8" t="s">
        <v>503</v>
      </c>
      <c r="C567" t="str">
        <f t="shared" si="8"/>
        <v>('NJ crossover claim','NJ'),</v>
      </c>
    </row>
    <row r="568" spans="1:3" x14ac:dyDescent="0.25">
      <c r="A568" s="9" t="s">
        <v>519</v>
      </c>
      <c r="B568" s="8" t="s">
        <v>503</v>
      </c>
      <c r="C568" t="str">
        <f t="shared" si="8"/>
        <v>('NJ- CSA/Medical Setting','NJ'),</v>
      </c>
    </row>
    <row r="569" spans="1:3" x14ac:dyDescent="0.25">
      <c r="A569" s="9" t="s">
        <v>520</v>
      </c>
      <c r="B569" s="8" t="s">
        <v>503</v>
      </c>
      <c r="C569" t="str">
        <f t="shared" si="8"/>
        <v>('NJ CVA','NJ'),</v>
      </c>
    </row>
    <row r="570" spans="1:3" x14ac:dyDescent="0.25">
      <c r="A570" s="9" t="s">
        <v>521</v>
      </c>
      <c r="B570" s="8" t="s">
        <v>503</v>
      </c>
      <c r="C570" t="str">
        <f t="shared" si="8"/>
        <v>('NJ Dentention Center','NJ'),</v>
      </c>
    </row>
    <row r="571" spans="1:3" x14ac:dyDescent="0.25">
      <c r="A571" s="9" t="s">
        <v>522</v>
      </c>
      <c r="B571" s="8" t="s">
        <v>503</v>
      </c>
      <c r="C571" t="str">
        <f t="shared" si="8"/>
        <v>('NJ Detention Center','NJ'),</v>
      </c>
    </row>
    <row r="572" spans="1:3" x14ac:dyDescent="0.25">
      <c r="A572" s="9" t="s">
        <v>523</v>
      </c>
      <c r="B572" s="8" t="s">
        <v>503</v>
      </c>
      <c r="C572" t="str">
        <f t="shared" si="8"/>
        <v>('NJ Doctor','NJ'),</v>
      </c>
    </row>
    <row r="573" spans="1:3" x14ac:dyDescent="0.25">
      <c r="A573" s="9" t="s">
        <v>523</v>
      </c>
      <c r="B573" s="8" t="s">
        <v>503</v>
      </c>
      <c r="C573" t="str">
        <f t="shared" si="8"/>
        <v>('NJ Doctor','NJ'),</v>
      </c>
    </row>
    <row r="574" spans="1:3" x14ac:dyDescent="0.25">
      <c r="A574" s="9" t="s">
        <v>524</v>
      </c>
      <c r="B574" s="8" t="s">
        <v>503</v>
      </c>
      <c r="C574" t="str">
        <f t="shared" si="8"/>
        <v>('NJ Does Meet Criteria','NJ'),</v>
      </c>
    </row>
    <row r="575" spans="1:3" x14ac:dyDescent="0.25">
      <c r="A575" s="9" t="s">
        <v>525</v>
      </c>
      <c r="B575" s="8" t="s">
        <v>503</v>
      </c>
      <c r="C575" t="str">
        <f t="shared" si="8"/>
        <v>('NJ Dr. Renner','NJ'),</v>
      </c>
    </row>
    <row r="576" spans="1:3" x14ac:dyDescent="0.25">
      <c r="A576" s="9" t="s">
        <v>525</v>
      </c>
      <c r="B576" s="8" t="s">
        <v>503</v>
      </c>
      <c r="C576" t="str">
        <f t="shared" si="8"/>
        <v>('NJ Dr. Renner','NJ'),</v>
      </c>
    </row>
    <row r="577" spans="1:3" x14ac:dyDescent="0.25">
      <c r="A577" s="9" t="s">
        <v>526</v>
      </c>
      <c r="B577" s="8" t="s">
        <v>503</v>
      </c>
      <c r="C577" t="str">
        <f t="shared" si="8"/>
        <v>('NJ DYFS','NJ'),</v>
      </c>
    </row>
    <row r="578" spans="1:3" x14ac:dyDescent="0.25">
      <c r="A578" s="9" t="s">
        <v>527</v>
      </c>
      <c r="B578" s="8" t="s">
        <v>503</v>
      </c>
      <c r="C578" t="str">
        <f t="shared" si="8"/>
        <v>('NJ Episcopal Church','NJ'),</v>
      </c>
    </row>
    <row r="579" spans="1:3" x14ac:dyDescent="0.25">
      <c r="A579" s="9" t="s">
        <v>528</v>
      </c>
      <c r="B579" s="8" t="s">
        <v>503</v>
      </c>
      <c r="C579" t="str">
        <f t="shared" ref="C579:C642" si="9">"('"&amp;A579&amp;"','"&amp;B579&amp;"'),"</f>
        <v>('NJ GENERAL (MINOR)','NJ'),</v>
      </c>
    </row>
    <row r="580" spans="1:3" x14ac:dyDescent="0.25">
      <c r="A580" s="9" t="s">
        <v>529</v>
      </c>
      <c r="B580" s="8" t="s">
        <v>503</v>
      </c>
      <c r="C580" t="str">
        <f t="shared" si="9"/>
        <v>('NJ Juvenile Detention Center','NJ'),</v>
      </c>
    </row>
    <row r="581" spans="1:3" x14ac:dyDescent="0.25">
      <c r="A581" s="9" t="s">
        <v>530</v>
      </c>
      <c r="B581" s="8" t="s">
        <v>503</v>
      </c>
      <c r="C581" t="str">
        <f t="shared" si="9"/>
        <v>('NJ Minor Abuse Claim','NJ'),</v>
      </c>
    </row>
    <row r="582" spans="1:3" x14ac:dyDescent="0.25">
      <c r="A582" s="9" t="s">
        <v>531</v>
      </c>
      <c r="B582" s="8" t="s">
        <v>503</v>
      </c>
      <c r="C582" t="str">
        <f t="shared" si="9"/>
        <v>('NJ Minor claim','NJ'),</v>
      </c>
    </row>
    <row r="583" spans="1:3" x14ac:dyDescent="0.25">
      <c r="A583" s="9" t="s">
        <v>532</v>
      </c>
      <c r="B583" s="8" t="s">
        <v>503</v>
      </c>
      <c r="C583" t="str">
        <f t="shared" si="9"/>
        <v>('NJ Minors','NJ'),</v>
      </c>
    </row>
    <row r="584" spans="1:3" x14ac:dyDescent="0.25">
      <c r="A584" s="9" t="s">
        <v>533</v>
      </c>
      <c r="B584" s="8" t="s">
        <v>503</v>
      </c>
      <c r="C584" t="str">
        <f t="shared" si="9"/>
        <v>('NJ non-catholic church','NJ'),</v>
      </c>
    </row>
    <row r="585" spans="1:3" x14ac:dyDescent="0.25">
      <c r="A585" s="9" t="s">
        <v>534</v>
      </c>
      <c r="B585" s="8" t="s">
        <v>503</v>
      </c>
      <c r="C585" t="str">
        <f t="shared" si="9"/>
        <v>('NJ Non-Program','NJ'),</v>
      </c>
    </row>
    <row r="586" spans="1:3" x14ac:dyDescent="0.25">
      <c r="A586" s="9" t="s">
        <v>535</v>
      </c>
      <c r="B586" s="8" t="s">
        <v>503</v>
      </c>
      <c r="C586" t="str">
        <f t="shared" si="9"/>
        <v>('NJ Orthodox Church','NJ'),</v>
      </c>
    </row>
    <row r="587" spans="1:3" x14ac:dyDescent="0.25">
      <c r="A587" s="9" t="s">
        <v>536</v>
      </c>
      <c r="B587" s="8" t="s">
        <v>503</v>
      </c>
      <c r="C587" t="str">
        <f t="shared" si="9"/>
        <v>('NJ Police Athletic League (PAL)','NJ'),</v>
      </c>
    </row>
    <row r="588" spans="1:3" x14ac:dyDescent="0.25">
      <c r="A588" s="9" t="s">
        <v>537</v>
      </c>
      <c r="B588" s="8" t="s">
        <v>503</v>
      </c>
      <c r="C588" t="str">
        <f t="shared" si="9"/>
        <v>('NJ Religious Order','NJ'),</v>
      </c>
    </row>
    <row r="589" spans="1:3" x14ac:dyDescent="0.25">
      <c r="A589" s="9" t="s">
        <v>537</v>
      </c>
      <c r="B589" s="8" t="s">
        <v>503</v>
      </c>
      <c r="C589" t="str">
        <f t="shared" si="9"/>
        <v>('NJ Religious Order','NJ'),</v>
      </c>
    </row>
    <row r="590" spans="1:3" x14ac:dyDescent="0.25">
      <c r="A590" s="9" t="s">
        <v>538</v>
      </c>
      <c r="B590" s="8" t="s">
        <v>503</v>
      </c>
      <c r="C590" t="str">
        <f t="shared" si="9"/>
        <v>('NJ School','NJ'),</v>
      </c>
    </row>
    <row r="591" spans="1:3" x14ac:dyDescent="0.25">
      <c r="A591" s="9" t="s">
        <v>539</v>
      </c>
      <c r="B591" s="8" t="s">
        <v>503</v>
      </c>
      <c r="C591" t="str">
        <f t="shared" si="9"/>
        <v>('NJ School Case','NJ'),</v>
      </c>
    </row>
    <row r="592" spans="1:3" x14ac:dyDescent="0.25">
      <c r="A592" s="9" t="s">
        <v>540</v>
      </c>
      <c r="B592" s="8" t="s">
        <v>503</v>
      </c>
      <c r="C592" t="str">
        <f t="shared" si="9"/>
        <v>('NJ School Claim','NJ'),</v>
      </c>
    </row>
    <row r="593" spans="1:3" x14ac:dyDescent="0.25">
      <c r="A593" s="9" t="s">
        <v>541</v>
      </c>
      <c r="B593" s="8" t="s">
        <v>503</v>
      </c>
      <c r="C593" t="str">
        <f t="shared" si="9"/>
        <v>('NJ Schools','NJ'),</v>
      </c>
    </row>
    <row r="594" spans="1:3" x14ac:dyDescent="0.25">
      <c r="A594" s="9" t="s">
        <v>542</v>
      </c>
      <c r="B594" s="8" t="s">
        <v>503</v>
      </c>
      <c r="C594" t="str">
        <f t="shared" si="9"/>
        <v>('NJ Sex Abuse Case','NJ'),</v>
      </c>
    </row>
    <row r="595" spans="1:3" x14ac:dyDescent="0.25">
      <c r="A595" s="9" t="s">
        <v>543</v>
      </c>
      <c r="B595" s="8" t="s">
        <v>503</v>
      </c>
      <c r="C595" t="str">
        <f t="shared" si="9"/>
        <v>('NJ Training School for Boys','NJ'),</v>
      </c>
    </row>
    <row r="596" spans="1:3" x14ac:dyDescent="0.25">
      <c r="A596" s="9" t="s">
        <v>544</v>
      </c>
      <c r="B596" s="8" t="s">
        <v>503</v>
      </c>
      <c r="C596" t="str">
        <f t="shared" si="9"/>
        <v>('NJ Youth Advocate','NJ'),</v>
      </c>
    </row>
    <row r="597" spans="1:3" x14ac:dyDescent="0.25">
      <c r="A597" s="9" t="s">
        <v>545</v>
      </c>
      <c r="B597" s="8" t="s">
        <v>503</v>
      </c>
      <c r="C597" t="str">
        <f t="shared" si="9"/>
        <v>('NJ-Doctor','NJ'),</v>
      </c>
    </row>
    <row r="598" spans="1:3" x14ac:dyDescent="0.25">
      <c r="A598" s="9" t="s">
        <v>545</v>
      </c>
      <c r="B598" s="8" t="s">
        <v>503</v>
      </c>
      <c r="C598" t="str">
        <f t="shared" si="9"/>
        <v>('NJ-Doctor','NJ'),</v>
      </c>
    </row>
    <row r="599" spans="1:3" x14ac:dyDescent="0.25">
      <c r="A599" s="9" t="s">
        <v>546</v>
      </c>
      <c r="B599" s="8" t="s">
        <v>503</v>
      </c>
      <c r="C599" t="str">
        <f t="shared" si="9"/>
        <v>('NJTS','NJ'),</v>
      </c>
    </row>
    <row r="600" spans="1:3" customFormat="1" hidden="1" x14ac:dyDescent="0.25">
      <c r="A600" s="1" t="s">
        <v>547</v>
      </c>
      <c r="C600" t="str">
        <f t="shared" si="9"/>
        <v>('NO EMAIL-WIFE DOES NOT KNOW',''),</v>
      </c>
    </row>
    <row r="601" spans="1:3" customFormat="1" hidden="1" x14ac:dyDescent="0.25">
      <c r="A601" s="1" t="s">
        <v>548</v>
      </c>
      <c r="C601" t="str">
        <f t="shared" si="9"/>
        <v>('NO LONGER REPRESENT',''),</v>
      </c>
    </row>
    <row r="602" spans="1:3" customFormat="1" hidden="1" x14ac:dyDescent="0.25">
      <c r="A602" s="1" t="s">
        <v>549</v>
      </c>
      <c r="C602" t="str">
        <f t="shared" si="9"/>
        <v>('NO LONGER REPRESENT-HIRED NEW FIRM',''),</v>
      </c>
    </row>
    <row r="603" spans="1:3" customFormat="1" hidden="1" x14ac:dyDescent="0.25">
      <c r="A603" s="1" t="s">
        <v>550</v>
      </c>
      <c r="C603" t="str">
        <f t="shared" si="9"/>
        <v>('NO LONGER REPRESENTING',''),</v>
      </c>
    </row>
    <row r="604" spans="1:3" customFormat="1" hidden="1" x14ac:dyDescent="0.25">
      <c r="A604" s="1" t="s">
        <v>551</v>
      </c>
      <c r="C604" t="str">
        <f t="shared" si="9"/>
        <v>('NO MAIL-JUST EMAIL!!',''),</v>
      </c>
    </row>
    <row r="605" spans="1:3" customFormat="1" hidden="1" x14ac:dyDescent="0.25">
      <c r="A605" s="1" t="s">
        <v>552</v>
      </c>
      <c r="C605" t="str">
        <f t="shared" si="9"/>
        <v>('No medical treatment',''),</v>
      </c>
    </row>
    <row r="606" spans="1:3" customFormat="1" hidden="1" x14ac:dyDescent="0.25">
      <c r="A606" s="1" t="s">
        <v>553</v>
      </c>
      <c r="C606" t="str">
        <f t="shared" si="9"/>
        <v>('NO MEDICARE LIEN',''),</v>
      </c>
    </row>
    <row r="607" spans="1:3" customFormat="1" hidden="1" x14ac:dyDescent="0.25">
      <c r="A607" s="1" t="s">
        <v>554</v>
      </c>
      <c r="C607" t="str">
        <f t="shared" si="9"/>
        <v>('NO MEDICARE OR MEDICAID',''),</v>
      </c>
    </row>
    <row r="608" spans="1:3" customFormat="1" hidden="1" x14ac:dyDescent="0.25">
      <c r="A608" s="1" t="s">
        <v>555</v>
      </c>
      <c r="C608" t="str">
        <f t="shared" si="9"/>
        <v>('NO MORE LOANS',''),</v>
      </c>
    </row>
    <row r="609" spans="1:3" customFormat="1" hidden="1" x14ac:dyDescent="0.25">
      <c r="A609" s="1" t="s">
        <v>556</v>
      </c>
      <c r="C609" t="str">
        <f t="shared" si="9"/>
        <v>('NO MORE LOANS!',''),</v>
      </c>
    </row>
    <row r="610" spans="1:3" customFormat="1" hidden="1" x14ac:dyDescent="0.25">
      <c r="A610" s="1" t="s">
        <v>557</v>
      </c>
      <c r="C610" t="str">
        <f t="shared" si="9"/>
        <v>('No name - TD',''),</v>
      </c>
    </row>
    <row r="611" spans="1:3" customFormat="1" hidden="1" x14ac:dyDescent="0.25">
      <c r="A611" s="1" t="s">
        <v>558</v>
      </c>
      <c r="C611" t="str">
        <f t="shared" si="9"/>
        <v>('NO QD',''),</v>
      </c>
    </row>
    <row r="612" spans="1:3" customFormat="1" hidden="1" x14ac:dyDescent="0.25">
      <c r="A612" s="1" t="s">
        <v>559</v>
      </c>
      <c r="C612" t="str">
        <f t="shared" si="9"/>
        <v>('No retainer yet',''),</v>
      </c>
    </row>
    <row r="613" spans="1:3" customFormat="1" hidden="1" x14ac:dyDescent="0.25">
      <c r="A613" s="1" t="s">
        <v>560</v>
      </c>
      <c r="C613" t="str">
        <f t="shared" si="9"/>
        <v>('Noah Goodman',''),</v>
      </c>
    </row>
    <row r="614" spans="1:3" customFormat="1" hidden="1" x14ac:dyDescent="0.25">
      <c r="A614" s="1" t="s">
        <v>561</v>
      </c>
      <c r="C614" t="str">
        <f t="shared" si="9"/>
        <v>('Non- Clergy',''),</v>
      </c>
    </row>
    <row r="615" spans="1:3" customFormat="1" hidden="1" x14ac:dyDescent="0.25">
      <c r="A615" s="1" t="s">
        <v>562</v>
      </c>
      <c r="C615" t="str">
        <f t="shared" si="9"/>
        <v>('Non-Catholic',''),</v>
      </c>
    </row>
    <row r="616" spans="1:3" customFormat="1" hidden="1" x14ac:dyDescent="0.25">
      <c r="A616" s="1" t="s">
        <v>563</v>
      </c>
      <c r="C616" t="str">
        <f t="shared" si="9"/>
        <v>('Non-Catholic Religion',''),</v>
      </c>
    </row>
    <row r="617" spans="1:3" customFormat="1" hidden="1" x14ac:dyDescent="0.25">
      <c r="A617" s="1" t="s">
        <v>564</v>
      </c>
      <c r="C617" t="str">
        <f t="shared" si="9"/>
        <v>('NON-Clergy',''),</v>
      </c>
    </row>
    <row r="618" spans="1:3" customFormat="1" hidden="1" x14ac:dyDescent="0.25">
      <c r="A618" s="1" t="s">
        <v>565</v>
      </c>
      <c r="C618" t="str">
        <f t="shared" si="9"/>
        <v>('NON-Clergy - Newark',''),</v>
      </c>
    </row>
    <row r="619" spans="1:3" customFormat="1" hidden="1" x14ac:dyDescent="0.25">
      <c r="A619" s="1" t="s">
        <v>566</v>
      </c>
      <c r="C619" t="str">
        <f t="shared" si="9"/>
        <v>('Non-Client inquiry',''),</v>
      </c>
    </row>
    <row r="620" spans="1:3" customFormat="1" hidden="1" x14ac:dyDescent="0.25">
      <c r="A620" s="1" t="s">
        <v>567</v>
      </c>
      <c r="C620" t="str">
        <f t="shared" si="9"/>
        <v>('Non-minor claim',''),</v>
      </c>
    </row>
    <row r="621" spans="1:3" customFormat="1" hidden="1" x14ac:dyDescent="0.25">
      <c r="A621" s="1" t="s">
        <v>568</v>
      </c>
      <c r="C621" t="str">
        <f t="shared" si="9"/>
        <v>('Non-Program Case',''),</v>
      </c>
    </row>
    <row r="622" spans="1:3" customFormat="1" hidden="1" x14ac:dyDescent="0.25">
      <c r="A622" s="1" t="s">
        <v>569</v>
      </c>
      <c r="C622" t="str">
        <f t="shared" si="9"/>
        <v>('North Central Secure Treatment Unit',''),</v>
      </c>
    </row>
    <row r="623" spans="1:3" customFormat="1" hidden="1" x14ac:dyDescent="0.25">
      <c r="A623" s="1" t="s">
        <v>570</v>
      </c>
      <c r="C623" t="str">
        <f t="shared" si="9"/>
        <v>('North Central Secure Treatment Unit in PA.',''),</v>
      </c>
    </row>
    <row r="624" spans="1:3" customFormat="1" hidden="1" x14ac:dyDescent="0.25">
      <c r="A624" s="1" t="s">
        <v>571</v>
      </c>
      <c r="C624" t="str">
        <f t="shared" si="9"/>
        <v>('Northampton County Human Services',''),</v>
      </c>
    </row>
    <row r="625" spans="1:3" customFormat="1" hidden="1" x14ac:dyDescent="0.25">
      <c r="A625" s="1" t="s">
        <v>572</v>
      </c>
      <c r="C625" t="str">
        <f t="shared" si="9"/>
        <v>('Northeast Catholic High School',''),</v>
      </c>
    </row>
    <row r="626" spans="1:3" customFormat="1" hidden="1" x14ac:dyDescent="0.25">
      <c r="A626" s="1" t="s">
        <v>573</v>
      </c>
      <c r="C626" t="str">
        <f t="shared" si="9"/>
        <v>('Northwestern Academy',''),</v>
      </c>
    </row>
    <row r="627" spans="1:3" customFormat="1" hidden="1" x14ac:dyDescent="0.25">
      <c r="A627" s="1" t="s">
        <v>574</v>
      </c>
      <c r="C627" t="str">
        <f t="shared" si="9"/>
        <v>('Northwestern Academy PA',''),</v>
      </c>
    </row>
    <row r="628" spans="1:3" customFormat="1" hidden="1" x14ac:dyDescent="0.25">
      <c r="A628" s="1" t="s">
        <v>575</v>
      </c>
      <c r="C628" t="str">
        <f t="shared" si="9"/>
        <v>('NOT A MINOR- NOT ELIGIBLE',''),</v>
      </c>
    </row>
    <row r="629" spans="1:3" customFormat="1" hidden="1" x14ac:dyDescent="0.25">
      <c r="A629" s="1" t="s">
        <v>576</v>
      </c>
      <c r="C629" t="str">
        <f t="shared" si="9"/>
        <v>('NOT A MINOR- NOT ELIGIBLE FOR IVCP',''),</v>
      </c>
    </row>
    <row r="630" spans="1:3" customFormat="1" hidden="1" x14ac:dyDescent="0.25">
      <c r="A630" s="1" t="s">
        <v>577</v>
      </c>
      <c r="C630" t="str">
        <f t="shared" si="9"/>
        <v>('NOT BAP Eligible',''),</v>
      </c>
    </row>
    <row r="631" spans="1:3" customFormat="1" hidden="1" x14ac:dyDescent="0.25">
      <c r="A631" s="1" t="s">
        <v>578</v>
      </c>
      <c r="C631" t="str">
        <f t="shared" si="9"/>
        <v>('NOT ELIGIBLE',''),</v>
      </c>
    </row>
    <row r="632" spans="1:3" customFormat="1" hidden="1" x14ac:dyDescent="0.25">
      <c r="A632" s="1" t="s">
        <v>579</v>
      </c>
      <c r="C632" t="str">
        <f t="shared" si="9"/>
        <v>('NOT ELIGIBLE FOR NJ COMPENSATION PROGRAM',''),</v>
      </c>
    </row>
    <row r="633" spans="1:3" customFormat="1" hidden="1" x14ac:dyDescent="0.25">
      <c r="A633" s="1" t="s">
        <v>580</v>
      </c>
      <c r="C633" t="str">
        <f t="shared" si="9"/>
        <v>('Not Eligible For PA Program',''),</v>
      </c>
    </row>
    <row r="634" spans="1:3" customFormat="1" hidden="1" x14ac:dyDescent="0.25">
      <c r="A634" s="1" t="s">
        <v>581</v>
      </c>
      <c r="C634" t="str">
        <f t="shared" si="9"/>
        <v>('NOT ELIGIBLE FOR PHL PROGRAM',''),</v>
      </c>
    </row>
    <row r="635" spans="1:3" customFormat="1" hidden="1" x14ac:dyDescent="0.25">
      <c r="A635" s="1" t="s">
        <v>582</v>
      </c>
      <c r="C635" t="str">
        <f t="shared" si="9"/>
        <v>('NOT GOOD WITNESS',''),</v>
      </c>
    </row>
    <row r="636" spans="1:3" customFormat="1" hidden="1" x14ac:dyDescent="0.25">
      <c r="A636" s="1" t="s">
        <v>583</v>
      </c>
      <c r="C636" t="str">
        <f t="shared" si="9"/>
        <v>('Not in custody',''),</v>
      </c>
    </row>
    <row r="637" spans="1:3" customFormat="1" hidden="1" x14ac:dyDescent="0.25">
      <c r="A637" s="1" t="s">
        <v>584</v>
      </c>
      <c r="C637" t="str">
        <f t="shared" si="9"/>
        <v>('NOT PURSUING VQ CLAIM',''),</v>
      </c>
    </row>
    <row r="638" spans="1:3" customFormat="1" hidden="1" x14ac:dyDescent="0.25">
      <c r="A638" s="1" t="s">
        <v>585</v>
      </c>
      <c r="C638" t="str">
        <f t="shared" si="9"/>
        <v>('NOTE: Hearing impaired',''),</v>
      </c>
    </row>
    <row r="639" spans="1:3" customFormat="1" hidden="1" x14ac:dyDescent="0.25">
      <c r="A639" s="1" t="s">
        <v>586</v>
      </c>
      <c r="C639" t="str">
        <f t="shared" si="9"/>
        <v>('Notice - Eligible for Expanded BAP Exam',''),</v>
      </c>
    </row>
    <row r="640" spans="1:3" customFormat="1" hidden="1" x14ac:dyDescent="0.25">
      <c r="A640" s="1" t="s">
        <v>587</v>
      </c>
      <c r="C640" t="str">
        <f t="shared" si="9"/>
        <v>('Notice of Eligibility for Expanded BAP Exam',''),</v>
      </c>
    </row>
    <row r="641" spans="1:3" customFormat="1" hidden="1" x14ac:dyDescent="0.25">
      <c r="A641" s="1" t="s">
        <v>588</v>
      </c>
      <c r="C641" t="str">
        <f t="shared" si="9"/>
        <v>('Now DECEASED - TD',''),</v>
      </c>
    </row>
    <row r="642" spans="1:3" customFormat="1" hidden="1" x14ac:dyDescent="0.25">
      <c r="A642" s="1" t="s">
        <v>589</v>
      </c>
      <c r="C642" t="str">
        <f t="shared" si="9"/>
        <v>('Nun abuse- not priest',''),</v>
      </c>
    </row>
    <row r="643" spans="1:3" customFormat="1" hidden="1" x14ac:dyDescent="0.25">
      <c r="A643" s="1" t="s">
        <v>590</v>
      </c>
      <c r="C643" t="str">
        <f t="shared" ref="C643:C706" si="10">"('"&amp;A643&amp;"','"&amp;B643&amp;"'),"</f>
        <v>('NUN CASE',''),</v>
      </c>
    </row>
    <row r="644" spans="1:3" x14ac:dyDescent="0.25">
      <c r="A644" s="9" t="s">
        <v>591</v>
      </c>
      <c r="B644" s="8" t="s">
        <v>503</v>
      </c>
      <c r="C644" t="str">
        <f t="shared" si="10"/>
        <v>('Nursing Home NJ','NJ'),</v>
      </c>
    </row>
    <row r="645" spans="1:3" customFormat="1" hidden="1" x14ac:dyDescent="0.25">
      <c r="A645" s="1" t="s">
        <v>592</v>
      </c>
      <c r="C645" t="str">
        <f t="shared" si="10"/>
        <v>('NY Case',''),</v>
      </c>
    </row>
    <row r="646" spans="1:3" customFormat="1" hidden="1" x14ac:dyDescent="0.25">
      <c r="A646" s="1" t="s">
        <v>593</v>
      </c>
      <c r="C646" t="str">
        <f t="shared" si="10"/>
        <v>('NY School Case',''),</v>
      </c>
    </row>
    <row r="647" spans="1:3" customFormat="1" hidden="1" x14ac:dyDescent="0.25">
      <c r="A647" s="1" t="s">
        <v>594</v>
      </c>
      <c r="C647" t="str">
        <f t="shared" si="10"/>
        <v>('Oasis Loan',''),</v>
      </c>
    </row>
    <row r="648" spans="1:3" customFormat="1" hidden="1" x14ac:dyDescent="0.25">
      <c r="A648" s="3" t="s">
        <v>595</v>
      </c>
      <c r="C648" t="str">
        <f t="shared" si="10"/>
        <v>('Oblates',''),</v>
      </c>
    </row>
    <row r="649" spans="1:3" customFormat="1" hidden="1" x14ac:dyDescent="0.25">
      <c r="A649" s="3" t="s">
        <v>595</v>
      </c>
      <c r="C649" t="str">
        <f t="shared" si="10"/>
        <v>('Oblates',''),</v>
      </c>
    </row>
    <row r="650" spans="1:3" customFormat="1" hidden="1" x14ac:dyDescent="0.25">
      <c r="A650" s="3" t="s">
        <v>596</v>
      </c>
      <c r="C650" t="str">
        <f t="shared" si="10"/>
        <v>('Ocean County Juv Detention Center',''),</v>
      </c>
    </row>
    <row r="651" spans="1:3" customFormat="1" hidden="1" x14ac:dyDescent="0.25">
      <c r="A651" s="1" t="s">
        <v>597</v>
      </c>
      <c r="C651" t="str">
        <f t="shared" si="10"/>
        <v>('Ocean residential JJC',''),</v>
      </c>
    </row>
    <row r="652" spans="1:3" customFormat="1" hidden="1" x14ac:dyDescent="0.25">
      <c r="A652" s="1" t="s">
        <v>598</v>
      </c>
      <c r="C652" t="str">
        <f t="shared" si="10"/>
        <v>('Ocean's Harbor House',''),</v>
      </c>
    </row>
    <row r="653" spans="1:3" customFormat="1" hidden="1" x14ac:dyDescent="0.25">
      <c r="A653" s="1" t="s">
        <v>599</v>
      </c>
      <c r="C653" t="str">
        <f t="shared" si="10"/>
        <v>('Offered Expanded BAP',''),</v>
      </c>
    </row>
    <row r="654" spans="1:3" customFormat="1" hidden="1" x14ac:dyDescent="0.25">
      <c r="A654" s="1" t="s">
        <v>600</v>
      </c>
      <c r="C654" t="str">
        <f t="shared" si="10"/>
        <v>('OFM',''),</v>
      </c>
    </row>
    <row r="655" spans="1:3" customFormat="1" hidden="1" x14ac:dyDescent="0.25">
      <c r="A655" s="1" t="s">
        <v>601</v>
      </c>
      <c r="C655" t="str">
        <f t="shared" si="10"/>
        <v>('on parole',''),</v>
      </c>
    </row>
    <row r="656" spans="1:3" customFormat="1" hidden="1" x14ac:dyDescent="0.25">
      <c r="A656" s="1" t="s">
        <v>602</v>
      </c>
      <c r="C656" t="str">
        <f t="shared" si="10"/>
        <v>('ONLY CALL CELL',''),</v>
      </c>
    </row>
    <row r="657" spans="1:3" customFormat="1" hidden="1" x14ac:dyDescent="0.25">
      <c r="A657" s="1" t="s">
        <v>603</v>
      </c>
      <c r="C657" t="str">
        <f t="shared" si="10"/>
        <v>('ONLY EMAIL!!! DO NOT MAIL DOCS TO HOME!!!',''),</v>
      </c>
    </row>
    <row r="658" spans="1:3" customFormat="1" hidden="1" x14ac:dyDescent="0.25">
      <c r="A658" s="1" t="s">
        <v>604</v>
      </c>
      <c r="C658" t="str">
        <f t="shared" si="10"/>
        <v>('ONLY SEND DOCS TO EMAIL!',''),</v>
      </c>
    </row>
    <row r="659" spans="1:3" customFormat="1" hidden="1" x14ac:dyDescent="0.25">
      <c r="A659" s="1" t="s">
        <v>605</v>
      </c>
      <c r="C659" t="str">
        <f t="shared" si="10"/>
        <v>('ONLY SEND DOCS TO EMAIL! NO MAIL!',''),</v>
      </c>
    </row>
    <row r="660" spans="1:3" customFormat="1" hidden="1" x14ac:dyDescent="0.25">
      <c r="A660" s="1" t="s">
        <v>606</v>
      </c>
      <c r="C660" t="str">
        <f t="shared" si="10"/>
        <v>('ONLY VAL TO CALL! SENSTIVE CLIENT',''),</v>
      </c>
    </row>
    <row r="661" spans="1:3" customFormat="1" hidden="1" x14ac:dyDescent="0.25">
      <c r="A661" s="1" t="s">
        <v>607</v>
      </c>
      <c r="C661" t="str">
        <f t="shared" si="10"/>
        <v>('Original BAP Exams Not Completed',''),</v>
      </c>
    </row>
    <row r="662" spans="1:3" customFormat="1" hidden="1" x14ac:dyDescent="0.25">
      <c r="A662" s="1" t="s">
        <v>608</v>
      </c>
      <c r="C662" t="str">
        <f t="shared" si="10"/>
        <v>('Out of SOL',''),</v>
      </c>
    </row>
    <row r="663" spans="1:3" customFormat="1" hidden="1" x14ac:dyDescent="0.25">
      <c r="A663" s="1" t="s">
        <v>609</v>
      </c>
      <c r="C663" t="str">
        <f t="shared" si="10"/>
        <v>('OUT OF SOL-GMS',''),</v>
      </c>
    </row>
    <row r="664" spans="1:3" customFormat="1" hidden="1" x14ac:dyDescent="0.25">
      <c r="A664" s="1" t="s">
        <v>610</v>
      </c>
      <c r="C664" t="str">
        <f t="shared" si="10"/>
        <v>('Over 30',''),</v>
      </c>
    </row>
    <row r="665" spans="1:3" customFormat="1" hidden="1" x14ac:dyDescent="0.25">
      <c r="A665" s="1" t="s">
        <v>611</v>
      </c>
      <c r="C665" t="str">
        <f t="shared" si="10"/>
        <v>('OVER 55',''),</v>
      </c>
    </row>
    <row r="666" spans="1:3" customFormat="1" hidden="1" x14ac:dyDescent="0.25">
      <c r="A666" s="1" t="s">
        <v>612</v>
      </c>
      <c r="C666" t="str">
        <f t="shared" si="10"/>
        <v>('OVER 55 y/o',''),</v>
      </c>
    </row>
    <row r="667" spans="1:3" customFormat="1" hidden="1" x14ac:dyDescent="0.25">
      <c r="A667" s="1" t="s">
        <v>613</v>
      </c>
      <c r="C667" t="str">
        <f t="shared" si="10"/>
        <v>('overlapping',''),</v>
      </c>
    </row>
    <row r="668" spans="1:3" customFormat="1" hidden="1" x14ac:dyDescent="0.25">
      <c r="A668" s="1" t="s">
        <v>614</v>
      </c>
      <c r="C668" t="str">
        <f t="shared" si="10"/>
        <v>('PA',''),</v>
      </c>
    </row>
    <row r="669" spans="1:3" x14ac:dyDescent="0.25">
      <c r="A669" s="9" t="s">
        <v>615</v>
      </c>
      <c r="B669" s="8" t="s">
        <v>614</v>
      </c>
      <c r="C669" t="str">
        <f t="shared" si="10"/>
        <v>('PA 3rd Party','PA'),</v>
      </c>
    </row>
    <row r="670" spans="1:3" x14ac:dyDescent="0.25">
      <c r="A670" s="9" t="s">
        <v>616</v>
      </c>
      <c r="B670" s="8" t="s">
        <v>614</v>
      </c>
      <c r="C670" t="str">
        <f t="shared" si="10"/>
        <v>('PA 3rd Party Case','PA'),</v>
      </c>
    </row>
    <row r="671" spans="1:3" x14ac:dyDescent="0.25">
      <c r="A671" s="9" t="s">
        <v>617</v>
      </c>
      <c r="B671" s="8" t="s">
        <v>614</v>
      </c>
      <c r="C671" t="str">
        <f t="shared" si="10"/>
        <v>('PA Archdiocese','PA'),</v>
      </c>
    </row>
    <row r="672" spans="1:3" x14ac:dyDescent="0.25">
      <c r="A672" s="9" t="s">
        <v>618</v>
      </c>
      <c r="B672" s="8" t="s">
        <v>614</v>
      </c>
      <c r="C672" t="str">
        <f t="shared" si="10"/>
        <v>('PA Case','PA'),</v>
      </c>
    </row>
    <row r="673" spans="1:3" x14ac:dyDescent="0.25">
      <c r="A673" s="9" t="s">
        <v>619</v>
      </c>
      <c r="B673" s="8" t="s">
        <v>614</v>
      </c>
      <c r="C673" t="str">
        <f t="shared" si="10"/>
        <v>('PA Child Support Lien','PA'),</v>
      </c>
    </row>
    <row r="674" spans="1:3" x14ac:dyDescent="0.25">
      <c r="A674" s="9" t="s">
        <v>620</v>
      </c>
      <c r="B674" s="8" t="s">
        <v>614</v>
      </c>
      <c r="C674" t="str">
        <f t="shared" si="10"/>
        <v>('PA Church','PA'),</v>
      </c>
    </row>
    <row r="675" spans="1:3" x14ac:dyDescent="0.25">
      <c r="A675" s="9" t="s">
        <v>621</v>
      </c>
      <c r="B675" s="8" t="s">
        <v>614</v>
      </c>
      <c r="C675" t="str">
        <f t="shared" si="10"/>
        <v>('PA Crossover','PA'),</v>
      </c>
    </row>
    <row r="676" spans="1:3" x14ac:dyDescent="0.25">
      <c r="A676" s="9" t="s">
        <v>622</v>
      </c>
      <c r="B676" s="8" t="s">
        <v>614</v>
      </c>
      <c r="C676" t="str">
        <f t="shared" si="10"/>
        <v>('PA Does Not Meet Criteria','PA'),</v>
      </c>
    </row>
    <row r="677" spans="1:3" x14ac:dyDescent="0.25">
      <c r="A677" s="9" t="s">
        <v>623</v>
      </c>
      <c r="B677" s="8" t="s">
        <v>614</v>
      </c>
      <c r="C677" t="str">
        <f t="shared" si="10"/>
        <v>('PA General Sex Abuse','PA'),</v>
      </c>
    </row>
    <row r="678" spans="1:3" x14ac:dyDescent="0.25">
      <c r="A678" s="9" t="s">
        <v>624</v>
      </c>
      <c r="B678" s="8" t="s">
        <v>614</v>
      </c>
      <c r="C678" t="str">
        <f t="shared" si="10"/>
        <v>('PA In Statute','PA'),</v>
      </c>
    </row>
    <row r="679" spans="1:3" x14ac:dyDescent="0.25">
      <c r="A679" s="9" t="s">
        <v>625</v>
      </c>
      <c r="B679" s="8" t="s">
        <v>614</v>
      </c>
      <c r="C679" t="str">
        <f t="shared" si="10"/>
        <v>('PA Juvenile Detention','PA'),</v>
      </c>
    </row>
    <row r="680" spans="1:3" x14ac:dyDescent="0.25">
      <c r="A680" s="9" t="s">
        <v>626</v>
      </c>
      <c r="B680" s="8" t="s">
        <v>614</v>
      </c>
      <c r="C680" t="str">
        <f t="shared" si="10"/>
        <v>('PA Not Retained','PA'),</v>
      </c>
    </row>
    <row r="681" spans="1:3" x14ac:dyDescent="0.25">
      <c r="A681" s="9" t="s">
        <v>627</v>
      </c>
      <c r="B681" s="8" t="s">
        <v>614</v>
      </c>
      <c r="C681" t="str">
        <f t="shared" si="10"/>
        <v>('PA rehab center','PA'),</v>
      </c>
    </row>
    <row r="682" spans="1:3" x14ac:dyDescent="0.25">
      <c r="A682" s="9" t="s">
        <v>628</v>
      </c>
      <c r="B682" s="8" t="s">
        <v>614</v>
      </c>
      <c r="C682" t="str">
        <f t="shared" si="10"/>
        <v>('PA School','PA'),</v>
      </c>
    </row>
    <row r="683" spans="1:3" x14ac:dyDescent="0.25">
      <c r="A683" s="9" t="s">
        <v>629</v>
      </c>
      <c r="B683" s="8" t="s">
        <v>614</v>
      </c>
      <c r="C683" t="str">
        <f t="shared" si="10"/>
        <v>('PA Window Case','PA'),</v>
      </c>
    </row>
    <row r="684" spans="1:3" customFormat="1" hidden="1" x14ac:dyDescent="0.25">
      <c r="A684" s="1" t="s">
        <v>630</v>
      </c>
      <c r="C684" t="str">
        <f t="shared" si="10"/>
        <v>('Palestinian Orthodox Church',''),</v>
      </c>
    </row>
    <row r="685" spans="1:3" customFormat="1" hidden="1" x14ac:dyDescent="0.25">
      <c r="A685" s="1" t="s">
        <v>631</v>
      </c>
      <c r="C685" t="str">
        <f t="shared" si="10"/>
        <v>('Paoli Hospital',''),</v>
      </c>
    </row>
    <row r="686" spans="1:3" customFormat="1" hidden="1" x14ac:dyDescent="0.25">
      <c r="A686" s="1" t="s">
        <v>632</v>
      </c>
      <c r="C686" t="str">
        <f t="shared" si="10"/>
        <v>('Paradise School for Boys',''),</v>
      </c>
    </row>
    <row r="687" spans="1:3" customFormat="1" hidden="1" x14ac:dyDescent="0.25">
      <c r="A687" s="1" t="s">
        <v>633</v>
      </c>
      <c r="C687" t="str">
        <f t="shared" si="10"/>
        <v>('Parkinson’s',''),</v>
      </c>
    </row>
    <row r="688" spans="1:3" customFormat="1" hidden="1" x14ac:dyDescent="0.25">
      <c r="A688" s="3" t="s">
        <v>634</v>
      </c>
      <c r="C688" t="str">
        <f t="shared" si="10"/>
        <v>('Passaic County Youth Detention Center',''),</v>
      </c>
    </row>
    <row r="689" spans="1:3" customFormat="1" hidden="1" x14ac:dyDescent="0.25">
      <c r="A689" s="1" t="s">
        <v>635</v>
      </c>
      <c r="C689" t="str">
        <f t="shared" si="10"/>
        <v>('Passed away',''),</v>
      </c>
    </row>
    <row r="690" spans="1:3" customFormat="1" hidden="1" x14ac:dyDescent="0.25">
      <c r="A690" s="3" t="s">
        <v>636</v>
      </c>
      <c r="C690" t="str">
        <f t="shared" si="10"/>
        <v>('Paterson',''),</v>
      </c>
    </row>
    <row r="691" spans="1:3" customFormat="1" hidden="1" x14ac:dyDescent="0.25">
      <c r="A691" s="3" t="s">
        <v>636</v>
      </c>
      <c r="C691" t="str">
        <f t="shared" si="10"/>
        <v>('Paterson',''),</v>
      </c>
    </row>
    <row r="692" spans="1:3" customFormat="1" hidden="1" x14ac:dyDescent="0.25">
      <c r="A692" s="3" t="s">
        <v>637</v>
      </c>
      <c r="C692" t="str">
        <f t="shared" si="10"/>
        <v>('Paterson BOE',''),</v>
      </c>
    </row>
    <row r="693" spans="1:3" customFormat="1" hidden="1" x14ac:dyDescent="0.25">
      <c r="A693" s="3" t="s">
        <v>638</v>
      </c>
      <c r="C693" t="str">
        <f t="shared" si="10"/>
        <v>('Paterson Diocese',''),</v>
      </c>
    </row>
    <row r="694" spans="1:3" customFormat="1" hidden="1" x14ac:dyDescent="0.25">
      <c r="A694" s="3" t="s">
        <v>638</v>
      </c>
      <c r="C694" t="str">
        <f t="shared" si="10"/>
        <v>('Paterson Diocese',''),</v>
      </c>
    </row>
    <row r="695" spans="1:3" customFormat="1" hidden="1" x14ac:dyDescent="0.25">
      <c r="A695" s="3" t="s">
        <v>639</v>
      </c>
      <c r="C695" t="str">
        <f t="shared" si="10"/>
        <v>('Patrick F. Healy Middle School or John L. Costley',''),</v>
      </c>
    </row>
    <row r="696" spans="1:3" customFormat="1" hidden="1" x14ac:dyDescent="0.25">
      <c r="A696" s="3" t="s">
        <v>640</v>
      </c>
      <c r="C696" t="str">
        <f t="shared" si="10"/>
        <v>('Patterson',''),</v>
      </c>
    </row>
    <row r="697" spans="1:3" customFormat="1" hidden="1" x14ac:dyDescent="0.25">
      <c r="A697" s="3" t="s">
        <v>640</v>
      </c>
      <c r="C697" t="str">
        <f t="shared" si="10"/>
        <v>('Patterson',''),</v>
      </c>
    </row>
    <row r="698" spans="1:3" customFormat="1" hidden="1" x14ac:dyDescent="0.25">
      <c r="A698" s="1" t="s">
        <v>641</v>
      </c>
      <c r="C698" t="str">
        <f t="shared" si="10"/>
        <v>('Paul D’Amato Referral',''),</v>
      </c>
    </row>
    <row r="699" spans="1:3" customFormat="1" hidden="1" x14ac:dyDescent="0.25">
      <c r="A699" s="1" t="s">
        <v>642</v>
      </c>
      <c r="C699" t="str">
        <f t="shared" si="10"/>
        <v>('Paul Lauricella Referral',''),</v>
      </c>
    </row>
    <row r="700" spans="1:3" customFormat="1" hidden="1" x14ac:dyDescent="0.25">
      <c r="A700" s="1" t="s">
        <v>643</v>
      </c>
      <c r="C700" t="str">
        <f t="shared" si="10"/>
        <v>('Paul Turkheimer Referral',''),</v>
      </c>
    </row>
    <row r="701" spans="1:3" customFormat="1" hidden="1" x14ac:dyDescent="0.25">
      <c r="A701" s="1" t="s">
        <v>644</v>
      </c>
      <c r="C701" t="str">
        <f t="shared" si="10"/>
        <v>('Pending information',''),</v>
      </c>
    </row>
    <row r="702" spans="1:3" customFormat="1" hidden="1" x14ac:dyDescent="0.25">
      <c r="A702" s="1" t="s">
        <v>645</v>
      </c>
      <c r="C702" t="str">
        <f t="shared" si="10"/>
        <v>('Penn Hills Senior High School',''),</v>
      </c>
    </row>
    <row r="703" spans="1:3" x14ac:dyDescent="0.25">
      <c r="A703" s="9" t="s">
        <v>646</v>
      </c>
      <c r="B703" s="8" t="s">
        <v>614</v>
      </c>
      <c r="C703" t="str">
        <f t="shared" si="10"/>
        <v>('Pennsylvania Juvenile Detention','PA'),</v>
      </c>
    </row>
    <row r="704" spans="1:3" x14ac:dyDescent="0.25">
      <c r="A704" s="9" t="s">
        <v>647</v>
      </c>
      <c r="B704" s="8" t="s">
        <v>614</v>
      </c>
      <c r="C704" t="str">
        <f t="shared" si="10"/>
        <v>('Pennsylvania Psychiatric Institute','PA'),</v>
      </c>
    </row>
    <row r="705" spans="1:3" customFormat="1" hidden="1" x14ac:dyDescent="0.25">
      <c r="A705" s="1" t="s">
        <v>648</v>
      </c>
      <c r="C705" t="str">
        <f t="shared" si="10"/>
        <v>('PERP CONVICTED',''),</v>
      </c>
    </row>
    <row r="706" spans="1:3" customFormat="1" hidden="1" x14ac:dyDescent="0.25">
      <c r="A706" s="1" t="s">
        <v>649</v>
      </c>
      <c r="C706" t="str">
        <f t="shared" si="10"/>
        <v>('Perp. + client Franco Iemmello',''),</v>
      </c>
    </row>
    <row r="707" spans="1:3" customFormat="1" hidden="1" x14ac:dyDescent="0.25">
      <c r="A707" s="1" t="s">
        <v>650</v>
      </c>
      <c r="C707" t="str">
        <f t="shared" ref="C707:C770" si="11">"('"&amp;A707&amp;"','"&amp;B707&amp;"'),"</f>
        <v>('Perp. + client Mike Robertazzi',''),</v>
      </c>
    </row>
    <row r="708" spans="1:3" customFormat="1" hidden="1" x14ac:dyDescent="0.25">
      <c r="A708" s="1" t="s">
        <v>651</v>
      </c>
      <c r="C708" t="str">
        <f t="shared" si="11"/>
        <v>('Peter Baron Referral',''),</v>
      </c>
    </row>
    <row r="709" spans="1:3" customFormat="1" hidden="1" x14ac:dyDescent="0.25">
      <c r="A709" s="3" t="s">
        <v>652</v>
      </c>
      <c r="C709" t="str">
        <f t="shared" si="11"/>
        <v>('Petrov Ballet School',''),</v>
      </c>
    </row>
    <row r="710" spans="1:3" customFormat="1" hidden="1" x14ac:dyDescent="0.25">
      <c r="A710" s="1" t="s">
        <v>653</v>
      </c>
      <c r="C710" t="str">
        <f t="shared" si="11"/>
        <v>('PFS submitted',''),</v>
      </c>
    </row>
    <row r="711" spans="1:3" customFormat="1" hidden="1" x14ac:dyDescent="0.25">
      <c r="A711" s="1" t="s">
        <v>654</v>
      </c>
      <c r="C711" t="str">
        <f t="shared" si="11"/>
        <v>('Phelps Private Boarding School',''),</v>
      </c>
    </row>
    <row r="712" spans="1:3" customFormat="1" hidden="1" x14ac:dyDescent="0.25">
      <c r="A712" s="3" t="s">
        <v>54</v>
      </c>
      <c r="C712" t="str">
        <f t="shared" si="11"/>
        <v>('Philadelphia Archdiocese',''),</v>
      </c>
    </row>
    <row r="713" spans="1:3" customFormat="1" hidden="1" x14ac:dyDescent="0.25">
      <c r="A713" s="3" t="s">
        <v>54</v>
      </c>
      <c r="C713" t="str">
        <f t="shared" si="11"/>
        <v>('Philadelphia Archdiocese',''),</v>
      </c>
    </row>
    <row r="714" spans="1:3" customFormat="1" hidden="1" x14ac:dyDescent="0.25">
      <c r="A714" s="1" t="s">
        <v>655</v>
      </c>
      <c r="C714" t="str">
        <f t="shared" si="11"/>
        <v>('Philadelphia Day Care',''),</v>
      </c>
    </row>
    <row r="715" spans="1:3" customFormat="1" hidden="1" x14ac:dyDescent="0.25">
      <c r="A715" s="3" t="s">
        <v>656</v>
      </c>
      <c r="C715" t="str">
        <f t="shared" si="11"/>
        <v>('Philadelphia Diocese',''),</v>
      </c>
    </row>
    <row r="716" spans="1:3" customFormat="1" hidden="1" x14ac:dyDescent="0.25">
      <c r="A716" s="3" t="s">
        <v>656</v>
      </c>
      <c r="C716" t="str">
        <f t="shared" si="11"/>
        <v>('Philadelphia Diocese',''),</v>
      </c>
    </row>
    <row r="717" spans="1:3" customFormat="1" hidden="1" x14ac:dyDescent="0.25">
      <c r="A717" s="3" t="s">
        <v>657</v>
      </c>
      <c r="C717" t="str">
        <f t="shared" si="11"/>
        <v>('Philadelphia Youth Study Center',''),</v>
      </c>
    </row>
    <row r="718" spans="1:3" customFormat="1" hidden="1" x14ac:dyDescent="0.25">
      <c r="A718" s="3" t="s">
        <v>658</v>
      </c>
      <c r="C718" t="str">
        <f t="shared" si="11"/>
        <v>('Philadlephia Archdiocese',''),</v>
      </c>
    </row>
    <row r="719" spans="1:3" customFormat="1" hidden="1" x14ac:dyDescent="0.25">
      <c r="A719" s="3" t="s">
        <v>658</v>
      </c>
      <c r="C719" t="str">
        <f t="shared" si="11"/>
        <v>('Philadlephia Archdiocese',''),</v>
      </c>
    </row>
    <row r="720" spans="1:3" customFormat="1" hidden="1" x14ac:dyDescent="0.25">
      <c r="A720" s="1" t="s">
        <v>659</v>
      </c>
      <c r="C720" t="str">
        <f t="shared" si="11"/>
        <v>('Physical &amp; Sexual Abuse',''),</v>
      </c>
    </row>
    <row r="721" spans="1:3" customFormat="1" hidden="1" x14ac:dyDescent="0.25">
      <c r="A721" s="1" t="s">
        <v>660</v>
      </c>
      <c r="C721" t="str">
        <f t="shared" si="11"/>
        <v>('PHYSICAL ONLY',''),</v>
      </c>
    </row>
    <row r="722" spans="1:3" customFormat="1" hidden="1" x14ac:dyDescent="0.25">
      <c r="A722" s="1" t="s">
        <v>661</v>
      </c>
      <c r="C722" t="str">
        <f t="shared" si="11"/>
        <v>('Physician',''),</v>
      </c>
    </row>
    <row r="723" spans="1:3" customFormat="1" hidden="1" x14ac:dyDescent="0.25">
      <c r="A723" s="3" t="s">
        <v>662</v>
      </c>
      <c r="C723" t="str">
        <f t="shared" si="11"/>
        <v>('Pittsburgh',''),</v>
      </c>
    </row>
    <row r="724" spans="1:3" customFormat="1" hidden="1" x14ac:dyDescent="0.25">
      <c r="A724" s="3" t="s">
        <v>662</v>
      </c>
      <c r="C724" t="str">
        <f t="shared" si="11"/>
        <v>('Pittsburgh',''),</v>
      </c>
    </row>
    <row r="725" spans="1:3" customFormat="1" hidden="1" x14ac:dyDescent="0.25">
      <c r="A725" s="3" t="s">
        <v>663</v>
      </c>
      <c r="C725" t="str">
        <f t="shared" si="11"/>
        <v>('Pittsburgh Archdiocese',''),</v>
      </c>
    </row>
    <row r="726" spans="1:3" customFormat="1" hidden="1" x14ac:dyDescent="0.25">
      <c r="A726" s="3" t="s">
        <v>663</v>
      </c>
      <c r="C726" t="str">
        <f t="shared" si="11"/>
        <v>('Pittsburgh Archdiocese',''),</v>
      </c>
    </row>
    <row r="727" spans="1:3" customFormat="1" hidden="1" x14ac:dyDescent="0.25">
      <c r="A727" s="3" t="s">
        <v>199</v>
      </c>
      <c r="C727" t="str">
        <f t="shared" si="11"/>
        <v>('Pittsburgh Diocese',''),</v>
      </c>
    </row>
    <row r="728" spans="1:3" customFormat="1" hidden="1" x14ac:dyDescent="0.25">
      <c r="A728" s="3" t="s">
        <v>199</v>
      </c>
      <c r="C728" t="str">
        <f t="shared" si="11"/>
        <v>('Pittsburgh Diocese',''),</v>
      </c>
    </row>
    <row r="729" spans="1:3" customFormat="1" hidden="1" x14ac:dyDescent="0.25">
      <c r="A729" s="1" t="s">
        <v>664</v>
      </c>
      <c r="C729" t="str">
        <f t="shared" si="11"/>
        <v>('Please Contact Letter Sent',''),</v>
      </c>
    </row>
    <row r="730" spans="1:3" customFormat="1" hidden="1" x14ac:dyDescent="0.25">
      <c r="A730" s="1" t="s">
        <v>665</v>
      </c>
      <c r="C730" t="str">
        <f t="shared" si="11"/>
        <v>('PNC',''),</v>
      </c>
    </row>
    <row r="731" spans="1:3" customFormat="1" hidden="1" x14ac:dyDescent="0.25">
      <c r="A731" s="1" t="s">
        <v>666</v>
      </c>
      <c r="C731" t="str">
        <f t="shared" si="11"/>
        <v>('Point Pleasant Borough High School',''),</v>
      </c>
    </row>
    <row r="732" spans="1:3" customFormat="1" hidden="1" x14ac:dyDescent="0.25">
      <c r="A732" s="1" t="s">
        <v>667</v>
      </c>
      <c r="C732" t="str">
        <f t="shared" si="11"/>
        <v>('Portersville Christian School',''),</v>
      </c>
    </row>
    <row r="733" spans="1:3" customFormat="1" hidden="1" x14ac:dyDescent="0.25">
      <c r="A733" s="1" t="s">
        <v>668</v>
      </c>
      <c r="C733" t="str">
        <f t="shared" si="11"/>
        <v>('Possibly sending to MAF',''),</v>
      </c>
    </row>
    <row r="734" spans="1:3" customFormat="1" hidden="1" x14ac:dyDescent="0.25">
      <c r="A734" s="1" t="s">
        <v>669</v>
      </c>
      <c r="C734" t="str">
        <f t="shared" si="11"/>
        <v>('POST PROGRAM DEADLINE',''),</v>
      </c>
    </row>
    <row r="735" spans="1:3" customFormat="1" hidden="1" x14ac:dyDescent="0.25">
      <c r="A735" s="1" t="s">
        <v>670</v>
      </c>
      <c r="C735" t="str">
        <f t="shared" si="11"/>
        <v>('Potential 3rd Party PI claim',''),</v>
      </c>
    </row>
    <row r="736" spans="1:3" customFormat="1" hidden="1" x14ac:dyDescent="0.25">
      <c r="A736" s="1" t="s">
        <v>671</v>
      </c>
      <c r="C736" t="str">
        <f t="shared" si="11"/>
        <v>('Potential son abuse',''),</v>
      </c>
    </row>
    <row r="737" spans="1:3" customFormat="1" hidden="1" x14ac:dyDescent="0.25">
      <c r="A737" s="1" t="s">
        <v>672</v>
      </c>
      <c r="C737" t="str">
        <f t="shared" si="11"/>
        <v>('PREFERS PHONE CALLS NOT EMAILS',''),</v>
      </c>
    </row>
    <row r="738" spans="1:3" customFormat="1" hidden="1" x14ac:dyDescent="0.25">
      <c r="A738" s="1" t="s">
        <v>673</v>
      </c>
      <c r="C738" t="str">
        <f t="shared" si="11"/>
        <v>('PREFERS TEXT MESSAGES',''),</v>
      </c>
    </row>
    <row r="739" spans="1:3" customFormat="1" hidden="1" x14ac:dyDescent="0.25">
      <c r="A739" s="1" t="s">
        <v>674</v>
      </c>
      <c r="C739" t="str">
        <f t="shared" si="11"/>
        <v>('Prefers to be called Vince',''),</v>
      </c>
    </row>
    <row r="740" spans="1:3" customFormat="1" hidden="1" x14ac:dyDescent="0.25">
      <c r="A740" s="3" t="s">
        <v>675</v>
      </c>
      <c r="C740" t="str">
        <f t="shared" si="11"/>
        <v>('Premonstratensian Order',''),</v>
      </c>
    </row>
    <row r="741" spans="1:3" customFormat="1" hidden="1" x14ac:dyDescent="0.25">
      <c r="A741" s="3" t="s">
        <v>675</v>
      </c>
      <c r="C741" t="str">
        <f t="shared" si="11"/>
        <v>('Premonstratensian Order',''),</v>
      </c>
    </row>
    <row r="742" spans="1:3" customFormat="1" hidden="1" x14ac:dyDescent="0.25">
      <c r="A742" s="3" t="s">
        <v>677</v>
      </c>
      <c r="C742" t="str">
        <f t="shared" si="11"/>
        <v>('Presbyterian Church',''),</v>
      </c>
    </row>
    <row r="743" spans="1:3" customFormat="1" hidden="1" x14ac:dyDescent="0.25">
      <c r="A743" s="3" t="s">
        <v>677</v>
      </c>
      <c r="C743" t="str">
        <f t="shared" si="11"/>
        <v>('Presbyterian Church',''),</v>
      </c>
    </row>
    <row r="744" spans="1:3" customFormat="1" hidden="1" x14ac:dyDescent="0.25">
      <c r="A744" s="1" t="s">
        <v>678</v>
      </c>
      <c r="C744" t="str">
        <f t="shared" si="11"/>
        <v>('Pre-settlement loan',''),</v>
      </c>
    </row>
    <row r="745" spans="1:3" customFormat="1" hidden="1" x14ac:dyDescent="0.25">
      <c r="A745" s="1" t="s">
        <v>679</v>
      </c>
      <c r="C745" t="str">
        <f t="shared" si="11"/>
        <v>('PRE-SETTLEMENT LOAN-Covered Bridge',''),</v>
      </c>
    </row>
    <row r="746" spans="1:3" customFormat="1" hidden="1" x14ac:dyDescent="0.25">
      <c r="A746" s="1" t="s">
        <v>680</v>
      </c>
      <c r="C746" t="str">
        <f t="shared" si="11"/>
        <v>('Pressley Ridge',''),</v>
      </c>
    </row>
    <row r="747" spans="1:3" customFormat="1" hidden="1" x14ac:dyDescent="0.25">
      <c r="A747" s="1" t="s">
        <v>681</v>
      </c>
      <c r="C747" t="str">
        <f t="shared" si="11"/>
        <v>('Priest Credibly Accused',''),</v>
      </c>
    </row>
    <row r="748" spans="1:3" customFormat="1" hidden="1" x14ac:dyDescent="0.25">
      <c r="A748" s="1" t="s">
        <v>682</v>
      </c>
      <c r="C748" t="str">
        <f t="shared" si="11"/>
        <v>('PRIOR INJURY-SAME BODY PART',''),</v>
      </c>
    </row>
    <row r="749" spans="1:3" customFormat="1" ht="30" hidden="1" x14ac:dyDescent="0.25">
      <c r="A749" s="1" t="s">
        <v>683</v>
      </c>
      <c r="C749" t="str">
        <f t="shared" si="11"/>
        <v>('PRIOR TO CALLING – TEXT “I’M INTERESTED IN THE PROPERTY ON PALMER DRIVE”',''),</v>
      </c>
    </row>
    <row r="750" spans="1:3" customFormat="1" hidden="1" x14ac:dyDescent="0.25">
      <c r="A750" s="1" t="s">
        <v>684</v>
      </c>
      <c r="C750" t="str">
        <f t="shared" si="11"/>
        <v>('PRIORITY CASE',''),</v>
      </c>
    </row>
    <row r="751" spans="1:3" customFormat="1" hidden="1" x14ac:dyDescent="0.25">
      <c r="A751" s="1" t="s">
        <v>685</v>
      </c>
      <c r="C751" t="str">
        <f t="shared" si="11"/>
        <v>('Program suspended',''),</v>
      </c>
    </row>
    <row r="752" spans="1:3" customFormat="1" hidden="1" x14ac:dyDescent="0.25">
      <c r="A752" s="3" t="s">
        <v>686</v>
      </c>
      <c r="C752" t="str">
        <f t="shared" si="11"/>
        <v>('Public School',''),</v>
      </c>
    </row>
    <row r="753" spans="1:3" customFormat="1" hidden="1" x14ac:dyDescent="0.25">
      <c r="A753" s="1" t="s">
        <v>687</v>
      </c>
      <c r="C753" t="str">
        <f t="shared" si="11"/>
        <v>('QD 1.5',''),</v>
      </c>
    </row>
    <row r="754" spans="1:3" customFormat="1" hidden="1" x14ac:dyDescent="0.25">
      <c r="A754" s="1" t="s">
        <v>688</v>
      </c>
      <c r="C754" t="str">
        <f t="shared" si="11"/>
        <v>('QD LEVEL 1',''),</v>
      </c>
    </row>
    <row r="755" spans="1:3" customFormat="1" hidden="1" x14ac:dyDescent="0.25">
      <c r="A755" s="1" t="s">
        <v>689</v>
      </c>
      <c r="C755" t="str">
        <f t="shared" si="11"/>
        <v>('Questionnaire mailed 4/30',''),</v>
      </c>
    </row>
    <row r="756" spans="1:3" customFormat="1" hidden="1" x14ac:dyDescent="0.25">
      <c r="A756" s="1" t="s">
        <v>690</v>
      </c>
      <c r="C756" t="str">
        <f t="shared" si="11"/>
        <v>('Questionnaire mailed 5/10',''),</v>
      </c>
    </row>
    <row r="757" spans="1:3" customFormat="1" hidden="1" x14ac:dyDescent="0.25">
      <c r="A757" s="1" t="s">
        <v>691</v>
      </c>
      <c r="C757" t="str">
        <f t="shared" si="11"/>
        <v>('Questionnaire mailed 5/13',''),</v>
      </c>
    </row>
    <row r="758" spans="1:3" customFormat="1" hidden="1" x14ac:dyDescent="0.25">
      <c r="A758" s="1" t="s">
        <v>692</v>
      </c>
      <c r="C758" t="str">
        <f t="shared" si="11"/>
        <v>('Questionnaire mailed 5/6',''),</v>
      </c>
    </row>
    <row r="759" spans="1:3" customFormat="1" hidden="1" x14ac:dyDescent="0.25">
      <c r="A759" s="1" t="s">
        <v>693</v>
      </c>
      <c r="C759" t="str">
        <f t="shared" si="11"/>
        <v>('Questionnaire mailed 5/6.',''),</v>
      </c>
    </row>
    <row r="760" spans="1:3" customFormat="1" hidden="1" x14ac:dyDescent="0.25">
      <c r="A760" s="1" t="s">
        <v>694</v>
      </c>
      <c r="C760" t="str">
        <f t="shared" si="11"/>
        <v>('Questionnaire submitted 4/25',''),</v>
      </c>
    </row>
    <row r="761" spans="1:3" customFormat="1" hidden="1" x14ac:dyDescent="0.25">
      <c r="A761" s="1" t="s">
        <v>695</v>
      </c>
      <c r="C761" t="str">
        <f t="shared" si="11"/>
        <v>('Rachel Possinger Referral',''),</v>
      </c>
    </row>
    <row r="762" spans="1:3" customFormat="1" hidden="1" x14ac:dyDescent="0.25">
      <c r="A762" s="1" t="s">
        <v>696</v>
      </c>
      <c r="C762" t="str">
        <f t="shared" si="11"/>
        <v>('Ralph Brook's Brother',''),</v>
      </c>
    </row>
    <row r="763" spans="1:3" customFormat="1" hidden="1" x14ac:dyDescent="0.25">
      <c r="A763" s="1" t="s">
        <v>697</v>
      </c>
      <c r="C763" t="str">
        <f t="shared" si="11"/>
        <v>('Raynes &amp; Lawn Referral',''),</v>
      </c>
    </row>
    <row r="764" spans="1:3" customFormat="1" hidden="1" x14ac:dyDescent="0.25">
      <c r="A764" s="1" t="s">
        <v>698</v>
      </c>
      <c r="C764" t="str">
        <f t="shared" si="11"/>
        <v>('Rec'd Determination Letter',''),</v>
      </c>
    </row>
    <row r="765" spans="1:3" customFormat="1" hidden="1" x14ac:dyDescent="0.25">
      <c r="A765" s="1" t="s">
        <v>699</v>
      </c>
      <c r="C765" t="str">
        <f t="shared" si="11"/>
        <v>('Rec'd IRRP Determination Letter - Ineligible',''),</v>
      </c>
    </row>
    <row r="766" spans="1:3" customFormat="1" hidden="1" x14ac:dyDescent="0.25">
      <c r="A766" s="1" t="s">
        <v>700</v>
      </c>
      <c r="C766" t="str">
        <f t="shared" si="11"/>
        <v>('Received Determination Letter',''),</v>
      </c>
    </row>
    <row r="767" spans="1:3" customFormat="1" hidden="1" x14ac:dyDescent="0.25">
      <c r="A767" s="1" t="s">
        <v>701</v>
      </c>
      <c r="C767" t="str">
        <f t="shared" si="11"/>
        <v>('RECEIVES MEDICARE',''),</v>
      </c>
    </row>
    <row r="768" spans="1:3" customFormat="1" hidden="1" x14ac:dyDescent="0.25">
      <c r="A768" s="1" t="s">
        <v>702</v>
      </c>
      <c r="C768" t="str">
        <f t="shared" si="11"/>
        <v>('rec's Medicaid',''),</v>
      </c>
    </row>
    <row r="769" spans="1:3" customFormat="1" hidden="1" x14ac:dyDescent="0.25">
      <c r="A769" s="1" t="s">
        <v>703</v>
      </c>
      <c r="C769" t="str">
        <f t="shared" si="11"/>
        <v>('rec's Medicare',''),</v>
      </c>
    </row>
    <row r="770" spans="1:3" customFormat="1" hidden="1" x14ac:dyDescent="0.25">
      <c r="A770" s="3" t="s">
        <v>704</v>
      </c>
      <c r="C770" t="str">
        <f t="shared" si="11"/>
        <v>('Red Bank Middle School',''),</v>
      </c>
    </row>
    <row r="771" spans="1:3" customFormat="1" hidden="1" x14ac:dyDescent="0.25">
      <c r="A771" s="1" t="s">
        <v>705</v>
      </c>
      <c r="C771" t="str">
        <f t="shared" ref="C771:C834" si="12">"('"&amp;A771&amp;"','"&amp;B771&amp;"'),"</f>
        <v>('Ref: Chris Dore (edelson Firm)',''),</v>
      </c>
    </row>
    <row r="772" spans="1:3" customFormat="1" hidden="1" x14ac:dyDescent="0.25">
      <c r="A772" s="1" t="s">
        <v>706</v>
      </c>
      <c r="C772" t="str">
        <f t="shared" si="12"/>
        <v>('referral attorney',''),</v>
      </c>
    </row>
    <row r="773" spans="1:3" customFormat="1" hidden="1" x14ac:dyDescent="0.25">
      <c r="A773" s="1" t="s">
        <v>707</v>
      </c>
      <c r="C773" t="str">
        <f t="shared" si="12"/>
        <v>('Referral atty Phil Mattia Esq.',''),</v>
      </c>
    </row>
    <row r="774" spans="1:3" customFormat="1" hidden="1" x14ac:dyDescent="0.25">
      <c r="A774" s="1" t="s">
        <v>708</v>
      </c>
      <c r="C774" t="str">
        <f t="shared" si="12"/>
        <v>('referral from Bobby Moak Esq',''),</v>
      </c>
    </row>
    <row r="775" spans="1:3" customFormat="1" hidden="1" x14ac:dyDescent="0.25">
      <c r="A775" s="1" t="s">
        <v>709</v>
      </c>
      <c r="C775" t="str">
        <f t="shared" si="12"/>
        <v>('Referral from Eisenberg Rothweiler',''),</v>
      </c>
    </row>
    <row r="776" spans="1:3" customFormat="1" hidden="1" x14ac:dyDescent="0.25">
      <c r="A776" s="1" t="s">
        <v>710</v>
      </c>
      <c r="C776" t="str">
        <f t="shared" si="12"/>
        <v>('Referral from Marc Neff Esq.',''),</v>
      </c>
    </row>
    <row r="777" spans="1:3" customFormat="1" hidden="1" x14ac:dyDescent="0.25">
      <c r="A777" s="1" t="s">
        <v>711</v>
      </c>
      <c r="C777" t="str">
        <f t="shared" si="12"/>
        <v>('Referral from Rod Dellano',''),</v>
      </c>
    </row>
    <row r="778" spans="1:3" customFormat="1" hidden="1" x14ac:dyDescent="0.25">
      <c r="A778" s="1" t="s">
        <v>712</v>
      </c>
      <c r="C778" t="str">
        <f t="shared" si="12"/>
        <v>('Referral from Stacy Mogul Esq.',''),</v>
      </c>
    </row>
    <row r="779" spans="1:3" customFormat="1" hidden="1" x14ac:dyDescent="0.25">
      <c r="A779" s="1" t="s">
        <v>713</v>
      </c>
      <c r="C779" t="str">
        <f t="shared" si="12"/>
        <v>('Referred by Alberto Matos',''),</v>
      </c>
    </row>
    <row r="780" spans="1:3" customFormat="1" hidden="1" x14ac:dyDescent="0.25">
      <c r="A780" s="1" t="s">
        <v>714</v>
      </c>
      <c r="C780" t="str">
        <f t="shared" si="12"/>
        <v>('Referred by Francis Dzwoniarek',''),</v>
      </c>
    </row>
    <row r="781" spans="1:3" customFormat="1" hidden="1" x14ac:dyDescent="0.25">
      <c r="A781" s="1" t="s">
        <v>715</v>
      </c>
      <c r="C781" t="str">
        <f t="shared" si="12"/>
        <v>('Referred by Michael Canavan',''),</v>
      </c>
    </row>
    <row r="782" spans="1:3" customFormat="1" hidden="1" x14ac:dyDescent="0.25">
      <c r="A782" s="1" t="s">
        <v>716</v>
      </c>
      <c r="C782" t="str">
        <f t="shared" si="12"/>
        <v>('Referred by Raymond Marino',''),</v>
      </c>
    </row>
    <row r="783" spans="1:3" customFormat="1" hidden="1" x14ac:dyDescent="0.25">
      <c r="A783" s="1" t="s">
        <v>717</v>
      </c>
      <c r="C783" t="str">
        <f t="shared" si="12"/>
        <v>('Reg Deadline Passed-Ineligible',''),</v>
      </c>
    </row>
    <row r="784" spans="1:3" customFormat="1" hidden="1" x14ac:dyDescent="0.25">
      <c r="A784" s="1" t="s">
        <v>718</v>
      </c>
      <c r="C784" t="str">
        <f t="shared" si="12"/>
        <v>('REGISTERED',''),</v>
      </c>
    </row>
    <row r="785" spans="1:3" x14ac:dyDescent="0.25">
      <c r="A785" s="9" t="s">
        <v>719</v>
      </c>
      <c r="B785" s="8" t="s">
        <v>503</v>
      </c>
      <c r="C785" t="str">
        <f t="shared" si="12"/>
        <v>('Registering as a NJ Claim','NJ'),</v>
      </c>
    </row>
    <row r="786" spans="1:3" customFormat="1" hidden="1" x14ac:dyDescent="0.25">
      <c r="A786" s="1" t="s">
        <v>720</v>
      </c>
      <c r="C786" t="str">
        <f t="shared" si="12"/>
        <v>('Rejected',''),</v>
      </c>
    </row>
    <row r="787" spans="1:3" customFormat="1" hidden="1" x14ac:dyDescent="0.25">
      <c r="A787" s="1" t="s">
        <v>721</v>
      </c>
      <c r="C787" t="str">
        <f t="shared" si="12"/>
        <v>('Rejection Letter',''),</v>
      </c>
    </row>
    <row r="788" spans="1:3" customFormat="1" hidden="1" x14ac:dyDescent="0.25">
      <c r="A788" s="1" t="s">
        <v>722</v>
      </c>
      <c r="C788" t="str">
        <f t="shared" si="12"/>
        <v>('Rejection letter sent',''),</v>
      </c>
    </row>
    <row r="789" spans="1:3" customFormat="1" hidden="1" x14ac:dyDescent="0.25">
      <c r="A789" s="1" t="s">
        <v>676</v>
      </c>
      <c r="C789" t="str">
        <f t="shared" si="12"/>
        <v>('Religious Order',''),</v>
      </c>
    </row>
    <row r="790" spans="1:3" customFormat="1" hidden="1" x14ac:dyDescent="0.25">
      <c r="A790" s="1" t="s">
        <v>723</v>
      </c>
      <c r="C790" t="str">
        <f t="shared" si="12"/>
        <v>('Religious Order Priest',''),</v>
      </c>
    </row>
    <row r="791" spans="1:3" customFormat="1" hidden="1" x14ac:dyDescent="0.25">
      <c r="A791" s="1" t="s">
        <v>724</v>
      </c>
      <c r="C791" t="str">
        <f t="shared" si="12"/>
        <v>('Religous Order',''),</v>
      </c>
    </row>
    <row r="792" spans="1:3" customFormat="1" hidden="1" x14ac:dyDescent="0.25">
      <c r="A792" s="1" t="s">
        <v>725</v>
      </c>
      <c r="C792" t="str">
        <f t="shared" si="12"/>
        <v>('Removed from list',''),</v>
      </c>
    </row>
    <row r="793" spans="1:3" customFormat="1" hidden="1" x14ac:dyDescent="0.25">
      <c r="A793" s="1" t="s">
        <v>726</v>
      </c>
      <c r="C793" t="str">
        <f t="shared" si="12"/>
        <v>('Removed from portal',''),</v>
      </c>
    </row>
    <row r="794" spans="1:3" customFormat="1" hidden="1" x14ac:dyDescent="0.25">
      <c r="A794" s="1" t="s">
        <v>727</v>
      </c>
      <c r="C794" t="str">
        <f t="shared" si="12"/>
        <v>('Repeat Perp. E. Marcone',''),</v>
      </c>
    </row>
    <row r="795" spans="1:3" customFormat="1" hidden="1" x14ac:dyDescent="0.25">
      <c r="A795" s="1" t="s">
        <v>728</v>
      </c>
      <c r="C795" t="str">
        <f t="shared" si="12"/>
        <v>('Represented by another firm',''),</v>
      </c>
    </row>
    <row r="796" spans="1:3" customFormat="1" hidden="1" x14ac:dyDescent="0.25">
      <c r="A796" s="3" t="s">
        <v>729</v>
      </c>
      <c r="C796" t="str">
        <f t="shared" si="12"/>
        <v>('Residential Home: Arthur Brisbane Child Treatment Center',''),</v>
      </c>
    </row>
    <row r="797" spans="1:3" customFormat="1" hidden="1" x14ac:dyDescent="0.25">
      <c r="A797" s="1" t="s">
        <v>730</v>
      </c>
      <c r="C797" t="str">
        <f t="shared" si="12"/>
        <v>('Robins Kaplan Referral',''),</v>
      </c>
    </row>
    <row r="798" spans="1:3" customFormat="1" hidden="1" x14ac:dyDescent="0.25">
      <c r="A798" s="1" t="s">
        <v>731</v>
      </c>
      <c r="C798" t="str">
        <f t="shared" si="12"/>
        <v>('Rod Dellano Referral',''),</v>
      </c>
    </row>
    <row r="799" spans="1:3" customFormat="1" hidden="1" x14ac:dyDescent="0.25">
      <c r="A799" s="1" t="s">
        <v>732</v>
      </c>
      <c r="C799" t="str">
        <f t="shared" si="12"/>
        <v>('Ron Sherman Referral',''),</v>
      </c>
    </row>
    <row r="800" spans="1:3" customFormat="1" hidden="1" x14ac:dyDescent="0.25">
      <c r="A800" s="3" t="s">
        <v>733</v>
      </c>
      <c r="C800" t="str">
        <f t="shared" si="12"/>
        <v>('Roosevelt School No 7',''),</v>
      </c>
    </row>
    <row r="801" spans="1:3" customFormat="1" hidden="1" x14ac:dyDescent="0.25">
      <c r="A801" s="3" t="s">
        <v>734</v>
      </c>
      <c r="C801" t="str">
        <f t="shared" si="12"/>
        <v>('Royal Rangers',''),</v>
      </c>
    </row>
    <row r="802" spans="1:3" customFormat="1" hidden="1" x14ac:dyDescent="0.25">
      <c r="A802" s="3" t="s">
        <v>735</v>
      </c>
      <c r="C802" t="str">
        <f t="shared" si="12"/>
        <v>('S.M. (Marianists-Society of Mary)',''),</v>
      </c>
    </row>
    <row r="803" spans="1:3" customFormat="1" hidden="1" x14ac:dyDescent="0.25">
      <c r="A803" s="3" t="s">
        <v>736</v>
      </c>
      <c r="C803" t="str">
        <f t="shared" si="12"/>
        <v>('Saint Gabriel's hall',''),</v>
      </c>
    </row>
    <row r="804" spans="1:3" customFormat="1" hidden="1" x14ac:dyDescent="0.25">
      <c r="A804" s="3" t="s">
        <v>736</v>
      </c>
      <c r="C804" t="str">
        <f t="shared" si="12"/>
        <v>('Saint Gabriel's hall',''),</v>
      </c>
    </row>
    <row r="805" spans="1:3" customFormat="1" hidden="1" x14ac:dyDescent="0.25">
      <c r="A805" s="3" t="s">
        <v>738</v>
      </c>
      <c r="C805" t="str">
        <f t="shared" si="12"/>
        <v>('Saint Gabriel's System',''),</v>
      </c>
    </row>
    <row r="806" spans="1:3" customFormat="1" hidden="1" x14ac:dyDescent="0.25">
      <c r="A806" s="3" t="s">
        <v>738</v>
      </c>
      <c r="C806" t="str">
        <f t="shared" si="12"/>
        <v>('Saint Gabriel's System',''),</v>
      </c>
    </row>
    <row r="807" spans="1:3" customFormat="1" hidden="1" x14ac:dyDescent="0.25">
      <c r="A807" s="3" t="s">
        <v>739</v>
      </c>
      <c r="C807" t="str">
        <f t="shared" si="12"/>
        <v>('Salesians Don Bosco',''),</v>
      </c>
    </row>
    <row r="808" spans="1:3" customFormat="1" hidden="1" x14ac:dyDescent="0.25">
      <c r="A808" s="1" t="s">
        <v>740</v>
      </c>
      <c r="C808" t="str">
        <f t="shared" si="12"/>
        <v>('Salvation Army',''),</v>
      </c>
    </row>
    <row r="809" spans="1:3" customFormat="1" hidden="1" x14ac:dyDescent="0.25">
      <c r="A809" s="1" t="s">
        <v>741</v>
      </c>
      <c r="C809" t="str">
        <f t="shared" si="12"/>
        <v>('SAME ABUSER AS EMIL S.',''),</v>
      </c>
    </row>
    <row r="810" spans="1:3" customFormat="1" hidden="1" x14ac:dyDescent="0.25">
      <c r="A810" s="1" t="s">
        <v>742</v>
      </c>
      <c r="C810" t="str">
        <f t="shared" si="12"/>
        <v>('SAME ABUSER AS GERARD  STEFANELLI',''),</v>
      </c>
    </row>
    <row r="811" spans="1:3" customFormat="1" hidden="1" x14ac:dyDescent="0.25">
      <c r="A811" s="1" t="s">
        <v>743</v>
      </c>
      <c r="C811" t="str">
        <f t="shared" si="12"/>
        <v>('SAME ABUSER AS MICHAEL STRADFORD',''),</v>
      </c>
    </row>
    <row r="812" spans="1:3" customFormat="1" hidden="1" x14ac:dyDescent="0.25">
      <c r="A812" s="1" t="s">
        <v>744</v>
      </c>
      <c r="C812" t="str">
        <f t="shared" si="12"/>
        <v>('SAME PERP AS ISAACS &amp; F. CLARK',''),</v>
      </c>
    </row>
    <row r="813" spans="1:3" customFormat="1" hidden="1" x14ac:dyDescent="0.25">
      <c r="A813" s="1" t="s">
        <v>745</v>
      </c>
      <c r="C813" t="str">
        <f t="shared" si="12"/>
        <v>('Same perp as M. Isaacs',''),</v>
      </c>
    </row>
    <row r="814" spans="1:3" customFormat="1" hidden="1" x14ac:dyDescent="0.25">
      <c r="A814" s="1" t="s">
        <v>746</v>
      </c>
      <c r="C814" t="str">
        <f t="shared" si="12"/>
        <v>('Samuels Foster Home',''),</v>
      </c>
    </row>
    <row r="815" spans="1:3" customFormat="1" hidden="1" x14ac:dyDescent="0.25">
      <c r="A815" s="1" t="s">
        <v>747</v>
      </c>
      <c r="C815" t="str">
        <f t="shared" si="12"/>
        <v>('School Abuse Case',''),</v>
      </c>
    </row>
    <row r="816" spans="1:3" customFormat="1" hidden="1" x14ac:dyDescent="0.25">
      <c r="A816" s="1" t="s">
        <v>748</v>
      </c>
      <c r="C816" t="str">
        <f t="shared" si="12"/>
        <v>('School Case',''),</v>
      </c>
    </row>
    <row r="817" spans="1:3" customFormat="1" hidden="1" x14ac:dyDescent="0.25">
      <c r="A817" s="1" t="s">
        <v>749</v>
      </c>
      <c r="C817" t="str">
        <f t="shared" si="12"/>
        <v>('Scott Leonard Referral',''),</v>
      </c>
    </row>
    <row r="818" spans="1:3" customFormat="1" hidden="1" x14ac:dyDescent="0.25">
      <c r="A818" s="3" t="s">
        <v>750</v>
      </c>
      <c r="C818" t="str">
        <f t="shared" si="12"/>
        <v>('Scranton',''),</v>
      </c>
    </row>
    <row r="819" spans="1:3" customFormat="1" hidden="1" x14ac:dyDescent="0.25">
      <c r="A819" s="3" t="s">
        <v>201</v>
      </c>
      <c r="C819" t="str">
        <f t="shared" si="12"/>
        <v>('Scranton Diocese',''),</v>
      </c>
    </row>
    <row r="820" spans="1:3" customFormat="1" hidden="1" x14ac:dyDescent="0.25">
      <c r="A820" s="3" t="s">
        <v>751</v>
      </c>
      <c r="C820" t="str">
        <f t="shared" si="12"/>
        <v>('Scraton Diocese',''),</v>
      </c>
    </row>
    <row r="821" spans="1:3" customFormat="1" hidden="1" x14ac:dyDescent="0.25">
      <c r="A821" s="1" t="s">
        <v>752</v>
      </c>
      <c r="C821" t="str">
        <f t="shared" si="12"/>
        <v>('Sean Pena Referral',''),</v>
      </c>
    </row>
    <row r="822" spans="1:3" customFormat="1" hidden="1" x14ac:dyDescent="0.25">
      <c r="A822" s="1" t="s">
        <v>753</v>
      </c>
      <c r="C822" t="str">
        <f t="shared" si="12"/>
        <v>('secondary referral from Michael Crane Esq',''),</v>
      </c>
    </row>
    <row r="823" spans="1:3" customFormat="1" hidden="1" x14ac:dyDescent="0.25">
      <c r="A823" s="1" t="s">
        <v>754</v>
      </c>
      <c r="C823" t="str">
        <f t="shared" si="12"/>
        <v>('See Gregory Wilkerson File re. Investigation',''),</v>
      </c>
    </row>
    <row r="824" spans="1:3" customFormat="1" hidden="1" x14ac:dyDescent="0.25">
      <c r="A824" s="1" t="s">
        <v>755</v>
      </c>
      <c r="C824" t="str">
        <f t="shared" si="12"/>
        <v>('SEE VS NOTE 05/10',''),</v>
      </c>
    </row>
    <row r="825" spans="1:3" customFormat="1" hidden="1" x14ac:dyDescent="0.25">
      <c r="A825" s="1" t="s">
        <v>756</v>
      </c>
      <c r="C825" t="str">
        <f t="shared" si="12"/>
        <v>('Sent to Investigator',''),</v>
      </c>
    </row>
    <row r="826" spans="1:3" customFormat="1" hidden="1" x14ac:dyDescent="0.25">
      <c r="A826" s="1" t="s">
        <v>757</v>
      </c>
      <c r="C826" t="str">
        <f t="shared" si="12"/>
        <v>('Sent to PI',''),</v>
      </c>
    </row>
    <row r="827" spans="1:3" customFormat="1" hidden="1" x14ac:dyDescent="0.25">
      <c r="A827" s="1" t="s">
        <v>758</v>
      </c>
      <c r="C827" t="str">
        <f t="shared" si="12"/>
        <v>('SERIOUS CASE',''),</v>
      </c>
    </row>
    <row r="828" spans="1:3" customFormat="1" hidden="1" x14ac:dyDescent="0.25">
      <c r="A828" s="1" t="s">
        <v>759</v>
      </c>
      <c r="C828" t="str">
        <f t="shared" si="12"/>
        <v>('SETTLED',''),</v>
      </c>
    </row>
    <row r="829" spans="1:3" customFormat="1" hidden="1" x14ac:dyDescent="0.25">
      <c r="A829" s="1" t="s">
        <v>760</v>
      </c>
      <c r="C829" t="str">
        <f t="shared" si="12"/>
        <v>('Settled - Devereux',''),</v>
      </c>
    </row>
    <row r="830" spans="1:3" customFormat="1" hidden="1" x14ac:dyDescent="0.25">
      <c r="A830" s="1" t="s">
        <v>761</v>
      </c>
      <c r="C830" t="str">
        <f t="shared" si="12"/>
        <v>('SEX ABUSE-POTENTIAL',''),</v>
      </c>
    </row>
    <row r="831" spans="1:3" customFormat="1" hidden="1" x14ac:dyDescent="0.25">
      <c r="A831" s="1" t="s">
        <v>762</v>
      </c>
      <c r="C831" t="str">
        <f t="shared" si="12"/>
        <v>('SEXUAL',''),</v>
      </c>
    </row>
    <row r="832" spans="1:3" customFormat="1" hidden="1" x14ac:dyDescent="0.25">
      <c r="A832" s="1" t="s">
        <v>763</v>
      </c>
      <c r="C832" t="str">
        <f t="shared" si="12"/>
        <v>('Sexual abuse',''),</v>
      </c>
    </row>
    <row r="833" spans="1:3" customFormat="1" hidden="1" x14ac:dyDescent="0.25">
      <c r="A833" s="1" t="s">
        <v>764</v>
      </c>
      <c r="C833" t="str">
        <f t="shared" si="12"/>
        <v>('SEXUAL-POTENTIAL',''),</v>
      </c>
    </row>
    <row r="834" spans="1:3" customFormat="1" hidden="1" x14ac:dyDescent="0.25">
      <c r="A834" s="1" t="s">
        <v>765</v>
      </c>
      <c r="C834" t="str">
        <f t="shared" si="12"/>
        <v>('Shawn Phone #404-429-3996',''),</v>
      </c>
    </row>
    <row r="835" spans="1:3" customFormat="1" hidden="1" x14ac:dyDescent="0.25">
      <c r="A835" s="1" t="s">
        <v>766</v>
      </c>
      <c r="C835" t="str">
        <f t="shared" ref="C835:C898" si="13">"('"&amp;A835&amp;"','"&amp;B835&amp;"'),"</f>
        <v>('She/Her Pronouns',''),</v>
      </c>
    </row>
    <row r="836" spans="1:3" customFormat="1" hidden="1" x14ac:dyDescent="0.25">
      <c r="A836" s="1" t="s">
        <v>767</v>
      </c>
      <c r="C836" t="str">
        <f t="shared" si="13"/>
        <v>('Shuman Juvenile Detention Center',''),</v>
      </c>
    </row>
    <row r="837" spans="1:3" customFormat="1" hidden="1" x14ac:dyDescent="0.25">
      <c r="A837" s="1" t="s">
        <v>768</v>
      </c>
      <c r="C837" t="str">
        <f t="shared" si="13"/>
        <v>('SIGNED UP WITH ANOTHER LAW FIRM',''),</v>
      </c>
    </row>
    <row r="838" spans="1:3" customFormat="1" hidden="1" x14ac:dyDescent="0.25">
      <c r="A838" s="1" t="s">
        <v>769</v>
      </c>
      <c r="C838" t="str">
        <f t="shared" si="13"/>
        <v>('Silver &amp; Silver Referral',''),</v>
      </c>
    </row>
    <row r="839" spans="1:3" customFormat="1" hidden="1" x14ac:dyDescent="0.25">
      <c r="A839" s="3" t="s">
        <v>770</v>
      </c>
      <c r="C839" t="str">
        <f t="shared" si="13"/>
        <v>('Silver Springs Martin Luther King School',''),</v>
      </c>
    </row>
    <row r="840" spans="1:3" customFormat="1" hidden="1" x14ac:dyDescent="0.25">
      <c r="A840" s="1" t="s">
        <v>771</v>
      </c>
      <c r="C840" t="str">
        <f t="shared" si="13"/>
        <v>('Sister of Nancy Astin-Manno',''),</v>
      </c>
    </row>
    <row r="841" spans="1:3" customFormat="1" hidden="1" x14ac:dyDescent="0.25">
      <c r="A841" s="3" t="s">
        <v>772</v>
      </c>
      <c r="C841" t="str">
        <f t="shared" si="13"/>
        <v>('Skillman Juvenile Detention Center',''),</v>
      </c>
    </row>
    <row r="842" spans="1:3" customFormat="1" hidden="1" x14ac:dyDescent="0.25">
      <c r="A842" s="1" t="s">
        <v>773</v>
      </c>
      <c r="C842" t="str">
        <f t="shared" si="13"/>
        <v>('Slade McLaughlin referral',''),</v>
      </c>
    </row>
    <row r="843" spans="1:3" customFormat="1" hidden="1" x14ac:dyDescent="0.25">
      <c r="A843" s="3" t="s">
        <v>774</v>
      </c>
      <c r="C843" t="str">
        <f t="shared" si="13"/>
        <v>('Sleighton Farms School for Girls',''),</v>
      </c>
    </row>
    <row r="844" spans="1:3" customFormat="1" hidden="1" x14ac:dyDescent="0.25">
      <c r="A844" s="1" t="s">
        <v>775</v>
      </c>
      <c r="C844" t="str">
        <f t="shared" si="13"/>
        <v>('Social Services',''),</v>
      </c>
    </row>
    <row r="845" spans="1:3" customFormat="1" hidden="1" x14ac:dyDescent="0.25">
      <c r="A845" s="1" t="s">
        <v>776</v>
      </c>
      <c r="C845" t="str">
        <f t="shared" si="13"/>
        <v>('SOL Runs: 11/16/22',''),</v>
      </c>
    </row>
    <row r="846" spans="1:3" customFormat="1" hidden="1" x14ac:dyDescent="0.25">
      <c r="A846" s="1" t="s">
        <v>777</v>
      </c>
      <c r="C846" t="str">
        <f t="shared" si="13"/>
        <v>('Somerset County Rehab Center',''),</v>
      </c>
    </row>
    <row r="847" spans="1:3" customFormat="1" hidden="1" x14ac:dyDescent="0.25">
      <c r="A847" s="1" t="s">
        <v>778</v>
      </c>
      <c r="C847" t="str">
        <f t="shared" si="13"/>
        <v>('South Mountain Restoration Center',''),</v>
      </c>
    </row>
    <row r="848" spans="1:3" customFormat="1" hidden="1" x14ac:dyDescent="0.25">
      <c r="A848" s="1" t="s">
        <v>779</v>
      </c>
      <c r="C848" t="str">
        <f t="shared" si="13"/>
        <v>('Sports Team',''),</v>
      </c>
    </row>
    <row r="849" spans="1:3" customFormat="1" hidden="1" x14ac:dyDescent="0.25">
      <c r="A849" s="1" t="s">
        <v>780</v>
      </c>
      <c r="C849" t="str">
        <f t="shared" si="13"/>
        <v>('SSS',''),</v>
      </c>
    </row>
    <row r="850" spans="1:3" customFormat="1" hidden="1" x14ac:dyDescent="0.25">
      <c r="A850" s="1" t="s">
        <v>781</v>
      </c>
      <c r="C850" t="str">
        <f t="shared" si="13"/>
        <v>('SSS Handling BSA Claim',''),</v>
      </c>
    </row>
    <row r="851" spans="1:3" customFormat="1" hidden="1" x14ac:dyDescent="0.25">
      <c r="A851" s="1" t="s">
        <v>782</v>
      </c>
      <c r="C851" t="str">
        <f t="shared" si="13"/>
        <v>('SSS Referral',''),</v>
      </c>
    </row>
    <row r="852" spans="1:3" customFormat="1" hidden="1" x14ac:dyDescent="0.25">
      <c r="A852" s="1" t="s">
        <v>783</v>
      </c>
      <c r="C852" t="str">
        <f t="shared" si="13"/>
        <v>('SSS Referral - STG',''),</v>
      </c>
    </row>
    <row r="853" spans="1:3" customFormat="1" hidden="1" x14ac:dyDescent="0.25">
      <c r="A853" s="1" t="s">
        <v>784</v>
      </c>
      <c r="C853" t="str">
        <f t="shared" si="13"/>
        <v>('SSS Referral (Devereux)',''),</v>
      </c>
    </row>
    <row r="854" spans="1:3" customFormat="1" hidden="1" x14ac:dyDescent="0.25">
      <c r="A854" s="1" t="s">
        <v>785</v>
      </c>
      <c r="C854" t="str">
        <f t="shared" si="13"/>
        <v>('SSS/CLG Dual Rep',''),</v>
      </c>
    </row>
    <row r="855" spans="1:3" customFormat="1" hidden="1" x14ac:dyDescent="0.25">
      <c r="A855" s="3" t="s">
        <v>786</v>
      </c>
      <c r="C855" t="str">
        <f t="shared" si="13"/>
        <v>('st gabriels hall',''),</v>
      </c>
    </row>
    <row r="856" spans="1:3" customFormat="1" hidden="1" x14ac:dyDescent="0.25">
      <c r="A856" s="3" t="s">
        <v>786</v>
      </c>
      <c r="C856" t="str">
        <f t="shared" si="13"/>
        <v>('st gabriels hall',''),</v>
      </c>
    </row>
    <row r="857" spans="1:3" customFormat="1" hidden="1" x14ac:dyDescent="0.25">
      <c r="A857" s="3" t="s">
        <v>787</v>
      </c>
      <c r="C857" t="str">
        <f t="shared" si="13"/>
        <v>('St Gabriel's Hall',''),</v>
      </c>
    </row>
    <row r="858" spans="1:3" customFormat="1" hidden="1" x14ac:dyDescent="0.25">
      <c r="A858" s="3" t="s">
        <v>787</v>
      </c>
      <c r="C858" t="str">
        <f t="shared" si="13"/>
        <v>('St Gabriel's Hall',''),</v>
      </c>
    </row>
    <row r="859" spans="1:3" customFormat="1" hidden="1" x14ac:dyDescent="0.25">
      <c r="A859" s="3" t="s">
        <v>788</v>
      </c>
      <c r="C859" t="str">
        <f t="shared" si="13"/>
        <v>('St Michael's School for Boys',''),</v>
      </c>
    </row>
    <row r="860" spans="1:3" customFormat="1" hidden="1" x14ac:dyDescent="0.25">
      <c r="A860" s="3" t="s">
        <v>789</v>
      </c>
      <c r="C860" t="str">
        <f t="shared" si="13"/>
        <v>('St. Gabes',''),</v>
      </c>
    </row>
    <row r="861" spans="1:3" customFormat="1" hidden="1" x14ac:dyDescent="0.25">
      <c r="A861" s="3" t="s">
        <v>789</v>
      </c>
      <c r="C861" t="str">
        <f t="shared" si="13"/>
        <v>('St. Gabes',''),</v>
      </c>
    </row>
    <row r="862" spans="1:3" customFormat="1" hidden="1" x14ac:dyDescent="0.25">
      <c r="A862" s="3" t="s">
        <v>790</v>
      </c>
      <c r="C862" t="str">
        <f t="shared" si="13"/>
        <v>('St. Gabe's',''),</v>
      </c>
    </row>
    <row r="863" spans="1:3" customFormat="1" hidden="1" x14ac:dyDescent="0.25">
      <c r="A863" s="3" t="s">
        <v>790</v>
      </c>
      <c r="C863" t="str">
        <f t="shared" si="13"/>
        <v>('St. Gabe's',''),</v>
      </c>
    </row>
    <row r="864" spans="1:3" customFormat="1" hidden="1" x14ac:dyDescent="0.25">
      <c r="A864" s="3" t="s">
        <v>791</v>
      </c>
      <c r="C864" t="str">
        <f t="shared" si="13"/>
        <v>('St. Gabe's Hall',''),</v>
      </c>
    </row>
    <row r="865" spans="1:3" customFormat="1" hidden="1" x14ac:dyDescent="0.25">
      <c r="A865" s="3" t="s">
        <v>791</v>
      </c>
      <c r="C865" t="str">
        <f t="shared" si="13"/>
        <v>('St. Gabe's Hall',''),</v>
      </c>
    </row>
    <row r="866" spans="1:3" customFormat="1" hidden="1" x14ac:dyDescent="0.25">
      <c r="A866" s="3" t="s">
        <v>792</v>
      </c>
      <c r="C866" t="str">
        <f t="shared" si="13"/>
        <v>('St. gabriels',''),</v>
      </c>
    </row>
    <row r="867" spans="1:3" customFormat="1" hidden="1" x14ac:dyDescent="0.25">
      <c r="A867" s="3" t="s">
        <v>792</v>
      </c>
      <c r="C867" t="str">
        <f t="shared" si="13"/>
        <v>('St. gabriels',''),</v>
      </c>
    </row>
    <row r="868" spans="1:3" customFormat="1" hidden="1" x14ac:dyDescent="0.25">
      <c r="A868" s="3" t="s">
        <v>793</v>
      </c>
      <c r="C868" t="str">
        <f t="shared" si="13"/>
        <v>('St. Gabriels Hall',''),</v>
      </c>
    </row>
    <row r="869" spans="1:3" customFormat="1" hidden="1" x14ac:dyDescent="0.25">
      <c r="A869" s="3" t="s">
        <v>793</v>
      </c>
      <c r="C869" t="str">
        <f t="shared" si="13"/>
        <v>('St. Gabriels Hall',''),</v>
      </c>
    </row>
    <row r="870" spans="1:3" customFormat="1" hidden="1" x14ac:dyDescent="0.25">
      <c r="A870" s="3" t="s">
        <v>737</v>
      </c>
      <c r="C870" t="str">
        <f t="shared" si="13"/>
        <v>('St. Gabriel's Hall',''),</v>
      </c>
    </row>
    <row r="871" spans="1:3" customFormat="1" hidden="1" x14ac:dyDescent="0.25">
      <c r="A871" s="3" t="s">
        <v>737</v>
      </c>
      <c r="C871" t="str">
        <f t="shared" si="13"/>
        <v>('St. Gabriel's Hall',''),</v>
      </c>
    </row>
    <row r="872" spans="1:3" customFormat="1" hidden="1" x14ac:dyDescent="0.25">
      <c r="A872" s="1" t="s">
        <v>794</v>
      </c>
      <c r="C872" t="str">
        <f t="shared" si="13"/>
        <v>('St. Mary's Villa - TD',''),</v>
      </c>
    </row>
    <row r="873" spans="1:3" customFormat="1" hidden="1" x14ac:dyDescent="0.25">
      <c r="A873" s="1" t="s">
        <v>795</v>
      </c>
      <c r="C873" t="str">
        <f t="shared" si="13"/>
        <v>('St. Matthew's in the Woods',''),</v>
      </c>
    </row>
    <row r="874" spans="1:3" customFormat="1" hidden="1" x14ac:dyDescent="0.25">
      <c r="A874" s="1" t="s">
        <v>796</v>
      </c>
      <c r="C874" t="str">
        <f t="shared" si="13"/>
        <v>('St. Michael's Lutheran Church',''),</v>
      </c>
    </row>
    <row r="875" spans="1:3" customFormat="1" hidden="1" x14ac:dyDescent="0.25">
      <c r="A875" s="3" t="s">
        <v>797</v>
      </c>
      <c r="C875" t="str">
        <f t="shared" si="13"/>
        <v>('St. Michael's School for Boys',''),</v>
      </c>
    </row>
    <row r="876" spans="1:3" customFormat="1" hidden="1" x14ac:dyDescent="0.25">
      <c r="A876" s="1" t="s">
        <v>798</v>
      </c>
      <c r="C876" t="str">
        <f t="shared" si="13"/>
        <v>('St. Stephen School',''),</v>
      </c>
    </row>
    <row r="877" spans="1:3" customFormat="1" hidden="1" x14ac:dyDescent="0.25">
      <c r="A877" s="3" t="s">
        <v>799</v>
      </c>
      <c r="C877" t="str">
        <f t="shared" si="13"/>
        <v>('Star of Hope Mission',''),</v>
      </c>
    </row>
    <row r="878" spans="1:3" customFormat="1" hidden="1" x14ac:dyDescent="0.25">
      <c r="A878" s="1" t="s">
        <v>800</v>
      </c>
      <c r="C878" t="str">
        <f t="shared" si="13"/>
        <v>('Stark and Stark Referral',''),</v>
      </c>
    </row>
    <row r="879" spans="1:3" customFormat="1" hidden="1" x14ac:dyDescent="0.25">
      <c r="A879" s="3" t="s">
        <v>801</v>
      </c>
      <c r="C879" t="str">
        <f t="shared" si="13"/>
        <v>('Stephens Foster Home',''),</v>
      </c>
    </row>
    <row r="880" spans="1:3" x14ac:dyDescent="0.25">
      <c r="A880" s="9" t="s">
        <v>802</v>
      </c>
      <c r="B880" s="8" t="s">
        <v>503</v>
      </c>
      <c r="C880" t="str">
        <f t="shared" si="13"/>
        <v>('Stepping Stone Group Home NJ','NJ'),</v>
      </c>
    </row>
    <row r="881" spans="1:3" customFormat="1" hidden="1" x14ac:dyDescent="0.25">
      <c r="A881" s="1" t="s">
        <v>803</v>
      </c>
      <c r="C881" t="str">
        <f t="shared" si="13"/>
        <v>('Steven Kupferberg Referral',''),</v>
      </c>
    </row>
    <row r="882" spans="1:3" customFormat="1" hidden="1" x14ac:dyDescent="0.25">
      <c r="A882" s="4" t="s">
        <v>804</v>
      </c>
      <c r="C882" t="str">
        <f t="shared" si="13"/>
        <v>('STG',''),</v>
      </c>
    </row>
    <row r="883" spans="1:3" customFormat="1" hidden="1" x14ac:dyDescent="0.25">
      <c r="A883" s="3" t="s">
        <v>804</v>
      </c>
      <c r="C883" t="str">
        <f t="shared" si="13"/>
        <v>('STG',''),</v>
      </c>
    </row>
    <row r="884" spans="1:3" customFormat="1" hidden="1" x14ac:dyDescent="0.25">
      <c r="A884" s="1" t="s">
        <v>805</v>
      </c>
      <c r="C884" t="str">
        <f t="shared" si="13"/>
        <v>('STG and VQ',''),</v>
      </c>
    </row>
    <row r="885" spans="1:3" customFormat="1" hidden="1" x14ac:dyDescent="0.25">
      <c r="A885" s="1" t="s">
        <v>806</v>
      </c>
      <c r="C885" t="str">
        <f t="shared" si="13"/>
        <v>('STG and VQ - TD',''),</v>
      </c>
    </row>
    <row r="886" spans="1:3" customFormat="1" hidden="1" x14ac:dyDescent="0.25">
      <c r="A886" s="4" t="s">
        <v>807</v>
      </c>
      <c r="C886" t="str">
        <f t="shared" si="13"/>
        <v>('STG IN SUIT',''),</v>
      </c>
    </row>
    <row r="887" spans="1:3" customFormat="1" hidden="1" x14ac:dyDescent="0.25">
      <c r="A887" s="3" t="s">
        <v>807</v>
      </c>
      <c r="C887" t="str">
        <f t="shared" si="13"/>
        <v>('STG IN SUIT',''),</v>
      </c>
    </row>
    <row r="888" spans="1:3" customFormat="1" hidden="1" x14ac:dyDescent="0.25">
      <c r="A888" s="1" t="s">
        <v>808</v>
      </c>
      <c r="C888" t="str">
        <f t="shared" si="13"/>
        <v>('STG TD',''),</v>
      </c>
    </row>
    <row r="889" spans="1:3" customFormat="1" hidden="1" x14ac:dyDescent="0.25">
      <c r="A889" s="1" t="s">
        <v>809</v>
      </c>
      <c r="C889" t="str">
        <f t="shared" si="13"/>
        <v>('STG- TD',''),</v>
      </c>
    </row>
    <row r="890" spans="1:3" customFormat="1" hidden="1" x14ac:dyDescent="0.25">
      <c r="A890" s="1" t="s">
        <v>810</v>
      </c>
      <c r="C890" t="str">
        <f t="shared" si="13"/>
        <v>('Stockpile',''),</v>
      </c>
    </row>
    <row r="891" spans="1:3" customFormat="1" hidden="1" x14ac:dyDescent="0.25">
      <c r="A891" s="1" t="s">
        <v>811</v>
      </c>
      <c r="C891" t="str">
        <f t="shared" si="13"/>
        <v>('STRONG CASE',''),</v>
      </c>
    </row>
    <row r="892" spans="1:3" customFormat="1" hidden="1" x14ac:dyDescent="0.25">
      <c r="A892" s="1" t="s">
        <v>812</v>
      </c>
      <c r="C892" t="str">
        <f t="shared" si="13"/>
        <v>('Suburban EMS',''),</v>
      </c>
    </row>
    <row r="893" spans="1:3" customFormat="1" hidden="1" x14ac:dyDescent="0.25">
      <c r="A893" s="3" t="s">
        <v>813</v>
      </c>
      <c r="C893" t="str">
        <f t="shared" si="13"/>
        <v>('Summit Academy',''),</v>
      </c>
    </row>
    <row r="894" spans="1:3" customFormat="1" hidden="1" x14ac:dyDescent="0.25">
      <c r="A894" s="3" t="s">
        <v>814</v>
      </c>
      <c r="C894" t="str">
        <f t="shared" si="13"/>
        <v>('Sussex County Correctional Facility',''),</v>
      </c>
    </row>
    <row r="895" spans="1:3" customFormat="1" hidden="1" x14ac:dyDescent="0.25">
      <c r="A895" s="3" t="s">
        <v>815</v>
      </c>
      <c r="C895" t="str">
        <f t="shared" si="13"/>
        <v>('Synagogue',''),</v>
      </c>
    </row>
    <row r="896" spans="1:3" customFormat="1" hidden="1" x14ac:dyDescent="0.25">
      <c r="A896" s="1" t="s">
        <v>816</v>
      </c>
      <c r="C896" t="str">
        <f t="shared" si="13"/>
        <v>('Tabs3',''),</v>
      </c>
    </row>
    <row r="897" spans="1:3" customFormat="1" hidden="1" x14ac:dyDescent="0.25">
      <c r="A897" s="1" t="s">
        <v>817</v>
      </c>
      <c r="C897" t="str">
        <f t="shared" si="13"/>
        <v>('Taxi Company',''),</v>
      </c>
    </row>
    <row r="898" spans="1:3" customFormat="1" hidden="1" x14ac:dyDescent="0.25">
      <c r="A898" s="1" t="s">
        <v>818</v>
      </c>
      <c r="C898" t="str">
        <f t="shared" si="13"/>
        <v>('TD',''),</v>
      </c>
    </row>
    <row r="899" spans="1:3" customFormat="1" hidden="1" x14ac:dyDescent="0.25">
      <c r="A899" s="1" t="s">
        <v>819</v>
      </c>
      <c r="C899" t="str">
        <f t="shared" ref="C899:C962" si="14">"('"&amp;A899&amp;"','"&amp;B899&amp;"'),"</f>
        <v>('TD - DEV',''),</v>
      </c>
    </row>
    <row r="900" spans="1:3" customFormat="1" hidden="1" x14ac:dyDescent="0.25">
      <c r="A900" s="1" t="s">
        <v>820</v>
      </c>
      <c r="C900" t="str">
        <f t="shared" si="14"/>
        <v>('TD - GM',''),</v>
      </c>
    </row>
    <row r="901" spans="1:3" customFormat="1" hidden="1" x14ac:dyDescent="0.25">
      <c r="A901" s="1" t="s">
        <v>821</v>
      </c>
      <c r="C901" t="str">
        <f t="shared" si="14"/>
        <v>('TD - GM and DEV',''),</v>
      </c>
    </row>
    <row r="902" spans="1:3" customFormat="1" hidden="1" x14ac:dyDescent="0.25">
      <c r="A902" s="1" t="s">
        <v>822</v>
      </c>
      <c r="C902" t="str">
        <f t="shared" si="14"/>
        <v>('TD - GM and VQ',''),</v>
      </c>
    </row>
    <row r="903" spans="1:3" customFormat="1" hidden="1" x14ac:dyDescent="0.25">
      <c r="A903" s="1" t="s">
        <v>823</v>
      </c>
      <c r="C903" t="str">
        <f t="shared" si="14"/>
        <v>('TD - STG',''),</v>
      </c>
    </row>
    <row r="904" spans="1:3" customFormat="1" hidden="1" x14ac:dyDescent="0.25">
      <c r="A904" s="1" t="s">
        <v>824</v>
      </c>
      <c r="C904" t="str">
        <f t="shared" si="14"/>
        <v>('TD - VQ',''),</v>
      </c>
    </row>
    <row r="905" spans="1:3" customFormat="1" hidden="1" x14ac:dyDescent="0.25">
      <c r="A905" s="1" t="s">
        <v>825</v>
      </c>
      <c r="C905" t="str">
        <f t="shared" si="14"/>
        <v>('TD - VQ and DEV',''),</v>
      </c>
    </row>
    <row r="906" spans="1:3" customFormat="1" hidden="1" x14ac:dyDescent="0.25">
      <c r="A906" s="1" t="s">
        <v>826</v>
      </c>
      <c r="C906" t="str">
        <f t="shared" si="14"/>
        <v>('TD - VQ and STG',''),</v>
      </c>
    </row>
    <row r="907" spans="1:3" customFormat="1" hidden="1" x14ac:dyDescent="0.25">
      <c r="A907" s="1" t="s">
        <v>827</v>
      </c>
      <c r="C907" t="str">
        <f t="shared" si="14"/>
        <v>('TD - Wordsworth',''),</v>
      </c>
    </row>
    <row r="908" spans="1:3" customFormat="1" hidden="1" x14ac:dyDescent="0.25">
      <c r="A908" s="1" t="s">
        <v>828</v>
      </c>
      <c r="C908" t="str">
        <f t="shared" si="14"/>
        <v>('TD- both STG and VQ',''),</v>
      </c>
    </row>
    <row r="909" spans="1:3" customFormat="1" hidden="1" x14ac:dyDescent="0.25">
      <c r="A909" s="1" t="s">
        <v>829</v>
      </c>
      <c r="C909" t="str">
        <f t="shared" si="14"/>
        <v>('TD only VQ and DEV',''),</v>
      </c>
    </row>
    <row r="910" spans="1:3" customFormat="1" hidden="1" x14ac:dyDescent="0.25">
      <c r="A910" s="1" t="s">
        <v>830</v>
      </c>
      <c r="C910" t="str">
        <f t="shared" si="14"/>
        <v>('TD per JWB',''),</v>
      </c>
    </row>
    <row r="911" spans="1:3" customFormat="1" hidden="1" x14ac:dyDescent="0.25">
      <c r="A911" s="1" t="s">
        <v>831</v>
      </c>
      <c r="C911" t="str">
        <f t="shared" si="14"/>
        <v>('TD VQ ONLY',''),</v>
      </c>
    </row>
    <row r="912" spans="1:3" customFormat="1" hidden="1" x14ac:dyDescent="0.25">
      <c r="A912" s="1" t="s">
        <v>832</v>
      </c>
      <c r="C912" t="str">
        <f t="shared" si="14"/>
        <v>('TD-NON COOPERATION',''),</v>
      </c>
    </row>
    <row r="913" spans="1:3" customFormat="1" hidden="1" x14ac:dyDescent="0.25">
      <c r="A913" s="1" t="s">
        <v>833</v>
      </c>
      <c r="C913" t="str">
        <f t="shared" si="14"/>
        <v>('TD-STG',''),</v>
      </c>
    </row>
    <row r="914" spans="1:3" customFormat="1" hidden="1" x14ac:dyDescent="0.25">
      <c r="A914" s="1" t="s">
        <v>834</v>
      </c>
      <c r="C914" t="str">
        <f t="shared" si="14"/>
        <v>('TD-STG ONLY',''),</v>
      </c>
    </row>
    <row r="915" spans="1:3" customFormat="1" hidden="1" x14ac:dyDescent="0.25">
      <c r="A915" s="1" t="s">
        <v>835</v>
      </c>
      <c r="C915" t="str">
        <f t="shared" si="14"/>
        <v>('TD-VisionQuest',''),</v>
      </c>
    </row>
    <row r="916" spans="1:3" customFormat="1" hidden="1" x14ac:dyDescent="0.25">
      <c r="A916" s="1" t="s">
        <v>835</v>
      </c>
      <c r="C916" t="str">
        <f t="shared" si="14"/>
        <v>('TD-VisionQuest',''),</v>
      </c>
    </row>
    <row r="917" spans="1:3" customFormat="1" hidden="1" x14ac:dyDescent="0.25">
      <c r="A917" s="1" t="s">
        <v>836</v>
      </c>
      <c r="C917" t="str">
        <f t="shared" si="14"/>
        <v>('TD-VQ and GMS',''),</v>
      </c>
    </row>
    <row r="918" spans="1:3" customFormat="1" hidden="1" x14ac:dyDescent="0.25">
      <c r="A918" s="1" t="s">
        <v>837</v>
      </c>
      <c r="C918" t="str">
        <f t="shared" si="14"/>
        <v>('Teacher',''),</v>
      </c>
    </row>
    <row r="919" spans="1:3" customFormat="1" hidden="1" x14ac:dyDescent="0.25">
      <c r="A919" s="1" t="s">
        <v>838</v>
      </c>
      <c r="C919" t="str">
        <f t="shared" si="14"/>
        <v>('Technical College High School-Pickering Campus',''),</v>
      </c>
    </row>
    <row r="920" spans="1:3" customFormat="1" hidden="1" x14ac:dyDescent="0.25">
      <c r="A920" s="1" t="s">
        <v>839</v>
      </c>
      <c r="C920" t="str">
        <f t="shared" si="14"/>
        <v>('Texas',''),</v>
      </c>
    </row>
    <row r="921" spans="1:3" customFormat="1" hidden="1" x14ac:dyDescent="0.25">
      <c r="A921" s="1" t="s">
        <v>840</v>
      </c>
      <c r="C921" t="str">
        <f t="shared" si="14"/>
        <v>('Text/Call before sending mail',''),</v>
      </c>
    </row>
    <row r="922" spans="1:3" customFormat="1" hidden="1" x14ac:dyDescent="0.25">
      <c r="A922" s="3" t="s">
        <v>841</v>
      </c>
      <c r="C922" t="str">
        <f t="shared" si="14"/>
        <v>('The Female Secure Care and Intake Facility: Hayes Building',''),</v>
      </c>
    </row>
    <row r="923" spans="1:3" x14ac:dyDescent="0.25">
      <c r="A923" s="9" t="s">
        <v>842</v>
      </c>
      <c r="B923" s="8" t="s">
        <v>503</v>
      </c>
      <c r="C923" t="str">
        <f t="shared" si="14"/>
        <v>('The New Jersey Training School and the Highland School','NJ'),</v>
      </c>
    </row>
    <row r="924" spans="1:3" customFormat="1" hidden="1" x14ac:dyDescent="0.25">
      <c r="A924" s="1" t="s">
        <v>843</v>
      </c>
      <c r="C924" t="str">
        <f t="shared" si="14"/>
        <v>('The Provincial Convent for Sister Of Good Shepherd',''),</v>
      </c>
    </row>
    <row r="925" spans="1:3" customFormat="1" hidden="1" x14ac:dyDescent="0.25">
      <c r="A925" s="3" t="s">
        <v>844</v>
      </c>
      <c r="C925" t="str">
        <f t="shared" si="14"/>
        <v>('The Summit Academy',''),</v>
      </c>
    </row>
    <row r="926" spans="1:3" customFormat="1" hidden="1" x14ac:dyDescent="0.25">
      <c r="A926" s="1" t="s">
        <v>845</v>
      </c>
      <c r="C926" t="str">
        <f t="shared" si="14"/>
        <v>('Therapy',''),</v>
      </c>
    </row>
    <row r="927" spans="1:3" customFormat="1" hidden="1" x14ac:dyDescent="0.25">
      <c r="A927" s="1" t="s">
        <v>846</v>
      </c>
      <c r="C927" t="str">
        <f t="shared" si="14"/>
        <v>('They/them/it',''),</v>
      </c>
    </row>
    <row r="928" spans="1:3" customFormat="1" hidden="1" x14ac:dyDescent="0.25">
      <c r="A928" s="1" t="s">
        <v>847</v>
      </c>
      <c r="C928" t="str">
        <f t="shared" si="14"/>
        <v>('THIS IS A DUP CONTACT',''),</v>
      </c>
    </row>
    <row r="929" spans="1:3" customFormat="1" hidden="1" x14ac:dyDescent="0.25">
      <c r="A929" s="1" t="s">
        <v>848</v>
      </c>
      <c r="C929" t="str">
        <f t="shared" si="14"/>
        <v>('Tioga County Child and Youth Services',''),</v>
      </c>
    </row>
    <row r="930" spans="1:3" customFormat="1" hidden="1" x14ac:dyDescent="0.25">
      <c r="A930" s="1" t="s">
        <v>849</v>
      </c>
      <c r="C930" t="str">
        <f t="shared" si="14"/>
        <v>('Todd Leonard Referral',''),</v>
      </c>
    </row>
    <row r="931" spans="1:3" customFormat="1" hidden="1" x14ac:dyDescent="0.25">
      <c r="A931" s="1" t="s">
        <v>850</v>
      </c>
      <c r="C931" t="str">
        <f t="shared" si="14"/>
        <v>('Toner Institute',''),</v>
      </c>
    </row>
    <row r="932" spans="1:3" customFormat="1" hidden="1" x14ac:dyDescent="0.25">
      <c r="A932" s="1" t="s">
        <v>851</v>
      </c>
      <c r="C932" t="str">
        <f t="shared" si="14"/>
        <v>('Treatment. See 5.1.19 note.',''),</v>
      </c>
    </row>
    <row r="933" spans="1:3" customFormat="1" hidden="1" x14ac:dyDescent="0.25">
      <c r="A933" s="1" t="s">
        <v>852</v>
      </c>
      <c r="C933" t="str">
        <f t="shared" si="14"/>
        <v>('Treatment. See 5.2.19 note.',''),</v>
      </c>
    </row>
    <row r="934" spans="1:3" customFormat="1" hidden="1" x14ac:dyDescent="0.25">
      <c r="A934" s="1" t="s">
        <v>853</v>
      </c>
      <c r="C934" t="str">
        <f t="shared" si="14"/>
        <v>('Treatment. See 5.3.19 note.',''),</v>
      </c>
    </row>
    <row r="935" spans="1:3" customFormat="1" hidden="1" x14ac:dyDescent="0.25">
      <c r="A935" s="3" t="s">
        <v>854</v>
      </c>
      <c r="C935" t="str">
        <f t="shared" si="14"/>
        <v>('Trenton',''),</v>
      </c>
    </row>
    <row r="936" spans="1:3" customFormat="1" hidden="1" x14ac:dyDescent="0.25">
      <c r="A936" s="3" t="s">
        <v>854</v>
      </c>
      <c r="C936" t="str">
        <f t="shared" si="14"/>
        <v>('Trenton',''),</v>
      </c>
    </row>
    <row r="937" spans="1:3" customFormat="1" hidden="1" x14ac:dyDescent="0.25">
      <c r="A937" s="3" t="s">
        <v>855</v>
      </c>
      <c r="C937" t="str">
        <f t="shared" si="14"/>
        <v>('Trenton Diocese',''),</v>
      </c>
    </row>
    <row r="938" spans="1:3" customFormat="1" hidden="1" x14ac:dyDescent="0.25">
      <c r="A938" s="3" t="s">
        <v>855</v>
      </c>
      <c r="C938" t="str">
        <f t="shared" si="14"/>
        <v>('Trenton Diocese',''),</v>
      </c>
    </row>
    <row r="939" spans="1:3" customFormat="1" hidden="1" x14ac:dyDescent="0.25">
      <c r="A939" s="1" t="s">
        <v>856</v>
      </c>
      <c r="C939" t="str">
        <f t="shared" si="14"/>
        <v>('Trinity United Methodist Church',''),</v>
      </c>
    </row>
    <row r="940" spans="1:3" customFormat="1" hidden="1" x14ac:dyDescent="0.25">
      <c r="A940" s="1" t="s">
        <v>857</v>
      </c>
      <c r="C940" t="str">
        <f t="shared" si="14"/>
        <v>('Turndown',''),</v>
      </c>
    </row>
    <row r="941" spans="1:3" customFormat="1" hidden="1" x14ac:dyDescent="0.25">
      <c r="A941" s="1" t="s">
        <v>858</v>
      </c>
      <c r="C941" t="str">
        <f t="shared" si="14"/>
        <v>('Twin Hills Elementary School',''),</v>
      </c>
    </row>
    <row r="942" spans="1:3" customFormat="1" hidden="1" x14ac:dyDescent="0.25">
      <c r="A942" s="1" t="s">
        <v>859</v>
      </c>
      <c r="C942" t="str">
        <f t="shared" si="14"/>
        <v>('Tyler Fox Referral',''),</v>
      </c>
    </row>
    <row r="943" spans="1:3" customFormat="1" hidden="1" x14ac:dyDescent="0.25">
      <c r="A943" s="1" t="s">
        <v>860</v>
      </c>
      <c r="C943" t="str">
        <f t="shared" si="14"/>
        <v>('U20',''),</v>
      </c>
    </row>
    <row r="944" spans="1:3" customFormat="1" hidden="1" x14ac:dyDescent="0.25">
      <c r="A944" s="1" t="s">
        <v>861</v>
      </c>
      <c r="C944" t="str">
        <f t="shared" si="14"/>
        <v>('UE',''),</v>
      </c>
    </row>
    <row r="945" spans="1:3" customFormat="1" hidden="1" x14ac:dyDescent="0.25">
      <c r="A945" s="3" t="s">
        <v>862</v>
      </c>
      <c r="C945" t="str">
        <f t="shared" si="14"/>
        <v>('Ukrainian Byzantine Catholic Church',''),</v>
      </c>
    </row>
    <row r="946" spans="1:3" customFormat="1" hidden="1" x14ac:dyDescent="0.25">
      <c r="A946" s="1" t="s">
        <v>863</v>
      </c>
      <c r="C946" t="str">
        <f t="shared" si="14"/>
        <v>('Uncooperative',''),</v>
      </c>
    </row>
    <row r="947" spans="1:3" customFormat="1" hidden="1" x14ac:dyDescent="0.25">
      <c r="A947" s="1" t="s">
        <v>864</v>
      </c>
      <c r="C947" t="str">
        <f t="shared" si="14"/>
        <v>('Under 20',''),</v>
      </c>
    </row>
    <row r="948" spans="1:3" customFormat="1" hidden="1" x14ac:dyDescent="0.25">
      <c r="A948" s="1" t="s">
        <v>865</v>
      </c>
      <c r="C948" t="str">
        <f t="shared" si="14"/>
        <v>('Under 30',''),</v>
      </c>
    </row>
    <row r="949" spans="1:3" customFormat="1" hidden="1" x14ac:dyDescent="0.25">
      <c r="A949" s="1" t="s">
        <v>866</v>
      </c>
      <c r="C949" t="str">
        <f t="shared" si="14"/>
        <v>('UNDER 55',''),</v>
      </c>
    </row>
    <row r="950" spans="1:3" customFormat="1" hidden="1" x14ac:dyDescent="0.25">
      <c r="A950" s="1" t="s">
        <v>867</v>
      </c>
      <c r="C950" t="str">
        <f t="shared" si="14"/>
        <v>('UNDER 55 y/o',''),</v>
      </c>
    </row>
    <row r="951" spans="1:3" customFormat="1" hidden="1" x14ac:dyDescent="0.25">
      <c r="A951" s="1" t="s">
        <v>868</v>
      </c>
      <c r="C951" t="str">
        <f t="shared" si="14"/>
        <v>('UNDER SOL for PHL Claim',''),</v>
      </c>
    </row>
    <row r="952" spans="1:3" customFormat="1" hidden="1" x14ac:dyDescent="0.25">
      <c r="A952" s="1" t="s">
        <v>869</v>
      </c>
      <c r="C952" t="str">
        <f t="shared" si="14"/>
        <v>('Union Baptist Church',''),</v>
      </c>
    </row>
    <row r="953" spans="1:3" customFormat="1" hidden="1" x14ac:dyDescent="0.25">
      <c r="A953" s="3" t="s">
        <v>870</v>
      </c>
      <c r="C953" t="str">
        <f t="shared" si="14"/>
        <v>('United Holy Church',''),</v>
      </c>
    </row>
    <row r="954" spans="1:3" customFormat="1" hidden="1" x14ac:dyDescent="0.25">
      <c r="A954" s="1" t="s">
        <v>871</v>
      </c>
      <c r="C954" t="str">
        <f t="shared" si="14"/>
        <v>('US Claims Loan',''),</v>
      </c>
    </row>
    <row r="955" spans="1:3" customFormat="1" hidden="1" x14ac:dyDescent="0.25">
      <c r="A955" s="3" t="s">
        <v>872</v>
      </c>
      <c r="C955" t="str">
        <f t="shared" si="14"/>
        <v>('USA Blues Clothing Store',''),</v>
      </c>
    </row>
    <row r="956" spans="1:3" customFormat="1" hidden="1" x14ac:dyDescent="0.25">
      <c r="A956" s="1" t="s">
        <v>873</v>
      </c>
      <c r="C956" t="str">
        <f t="shared" si="14"/>
        <v>('USE: waylonbrown89@hotmail.com',''),</v>
      </c>
    </row>
    <row r="957" spans="1:3" customFormat="1" hidden="1" x14ac:dyDescent="0.25">
      <c r="A957" s="1" t="s">
        <v>874</v>
      </c>
      <c r="C957" t="str">
        <f t="shared" si="14"/>
        <v>('Verified',''),</v>
      </c>
    </row>
    <row r="958" spans="1:3" customFormat="1" hidden="1" x14ac:dyDescent="0.25">
      <c r="A958" s="3" t="s">
        <v>875</v>
      </c>
      <c r="C958" t="str">
        <f t="shared" si="14"/>
        <v>('Vincentians',''),</v>
      </c>
    </row>
    <row r="959" spans="1:3" customFormat="1" hidden="1" x14ac:dyDescent="0.25">
      <c r="A959" s="3" t="s">
        <v>876</v>
      </c>
      <c r="C959" t="str">
        <f t="shared" si="14"/>
        <v>('Vision Quest',''),</v>
      </c>
    </row>
    <row r="960" spans="1:3" customFormat="1" hidden="1" x14ac:dyDescent="0.25">
      <c r="A960" s="3" t="s">
        <v>876</v>
      </c>
      <c r="C960" t="str">
        <f t="shared" si="14"/>
        <v>('Vision Quest',''),</v>
      </c>
    </row>
    <row r="961" spans="1:3" customFormat="1" hidden="1" x14ac:dyDescent="0.25">
      <c r="A961" s="3" t="s">
        <v>877</v>
      </c>
      <c r="C961" t="str">
        <f t="shared" si="14"/>
        <v>('Vision Quest (PHY only- out of Statute)',''),</v>
      </c>
    </row>
    <row r="962" spans="1:3" customFormat="1" hidden="1" x14ac:dyDescent="0.25">
      <c r="A962" s="3" t="s">
        <v>877</v>
      </c>
      <c r="C962" t="str">
        <f t="shared" si="14"/>
        <v>('Vision Quest (PHY only- out of Statute)',''),</v>
      </c>
    </row>
    <row r="963" spans="1:3" customFormat="1" hidden="1" x14ac:dyDescent="0.25">
      <c r="A963" s="3" t="s">
        <v>878</v>
      </c>
      <c r="C963" t="str">
        <f t="shared" ref="C963:C1006" si="15">"('"&amp;A963&amp;"','"&amp;B963&amp;"'),"</f>
        <v>('Vision Quest (Texas)',''),</v>
      </c>
    </row>
    <row r="964" spans="1:3" customFormat="1" hidden="1" x14ac:dyDescent="0.25">
      <c r="A964" s="3" t="s">
        <v>878</v>
      </c>
      <c r="C964" t="str">
        <f t="shared" si="15"/>
        <v>('Vision Quest (Texas)',''),</v>
      </c>
    </row>
    <row r="965" spans="1:3" customFormat="1" hidden="1" x14ac:dyDescent="0.25">
      <c r="A965" s="3" t="s">
        <v>879</v>
      </c>
      <c r="C965" t="str">
        <f t="shared" si="15"/>
        <v>('Vision Quest Philadelphia',''),</v>
      </c>
    </row>
    <row r="966" spans="1:3" customFormat="1" hidden="1" x14ac:dyDescent="0.25">
      <c r="A966" s="3" t="s">
        <v>879</v>
      </c>
      <c r="C966" t="str">
        <f t="shared" si="15"/>
        <v>('Vision Quest Philadelphia',''),</v>
      </c>
    </row>
    <row r="967" spans="1:3" customFormat="1" hidden="1" x14ac:dyDescent="0.25">
      <c r="A967" s="3" t="s">
        <v>880</v>
      </c>
      <c r="C967" t="str">
        <f t="shared" si="15"/>
        <v>('Visionquest',''),</v>
      </c>
    </row>
    <row r="968" spans="1:3" customFormat="1" hidden="1" x14ac:dyDescent="0.25">
      <c r="A968" s="3" t="s">
        <v>880</v>
      </c>
      <c r="C968" t="str">
        <f t="shared" si="15"/>
        <v>('Visionquest',''),</v>
      </c>
    </row>
    <row r="969" spans="1:3" customFormat="1" hidden="1" x14ac:dyDescent="0.25">
      <c r="A969" s="3" t="s">
        <v>881</v>
      </c>
      <c r="C969" t="str">
        <f t="shared" si="15"/>
        <v>('VQ',''),</v>
      </c>
    </row>
    <row r="970" spans="1:3" customFormat="1" hidden="1" x14ac:dyDescent="0.25">
      <c r="A970" s="3" t="s">
        <v>881</v>
      </c>
      <c r="C970" t="str">
        <f t="shared" si="15"/>
        <v>('VQ',''),</v>
      </c>
    </row>
    <row r="971" spans="1:3" customFormat="1" hidden="1" x14ac:dyDescent="0.25">
      <c r="A971" s="1" t="s">
        <v>882</v>
      </c>
      <c r="C971" t="str">
        <f t="shared" si="15"/>
        <v>('VQ - TD',''),</v>
      </c>
    </row>
    <row r="972" spans="1:3" customFormat="1" hidden="1" x14ac:dyDescent="0.25">
      <c r="A972" s="1" t="s">
        <v>882</v>
      </c>
      <c r="C972" t="str">
        <f t="shared" si="15"/>
        <v>('VQ - TD',''),</v>
      </c>
    </row>
    <row r="973" spans="1:3" customFormat="1" hidden="1" x14ac:dyDescent="0.25">
      <c r="A973" s="1" t="s">
        <v>883</v>
      </c>
      <c r="C973" t="str">
        <f t="shared" si="15"/>
        <v>('VQ Case- TD',''),</v>
      </c>
    </row>
    <row r="974" spans="1:3" customFormat="1" hidden="1" x14ac:dyDescent="0.25">
      <c r="A974" s="1" t="s">
        <v>883</v>
      </c>
      <c r="C974" t="str">
        <f t="shared" si="15"/>
        <v>('VQ Case- TD',''),</v>
      </c>
    </row>
    <row r="975" spans="1:3" customFormat="1" hidden="1" x14ac:dyDescent="0.25">
      <c r="A975" s="1" t="s">
        <v>884</v>
      </c>
      <c r="C975" t="str">
        <f t="shared" si="15"/>
        <v>('VQ CLAIM - TD FOR MIN ABUSE',''),</v>
      </c>
    </row>
    <row r="976" spans="1:3" customFormat="1" hidden="1" x14ac:dyDescent="0.25">
      <c r="A976" s="1" t="s">
        <v>884</v>
      </c>
      <c r="C976" t="str">
        <f t="shared" si="15"/>
        <v>('VQ CLAIM - TD FOR MIN ABUSE',''),</v>
      </c>
    </row>
    <row r="977" spans="1:3" customFormat="1" hidden="1" x14ac:dyDescent="0.25">
      <c r="A977" s="3" t="s">
        <v>885</v>
      </c>
      <c r="C977" t="str">
        <f t="shared" si="15"/>
        <v>('VQ Client',''),</v>
      </c>
    </row>
    <row r="978" spans="1:3" customFormat="1" hidden="1" x14ac:dyDescent="0.25">
      <c r="A978" s="3" t="s">
        <v>885</v>
      </c>
      <c r="C978" t="str">
        <f t="shared" si="15"/>
        <v>('VQ Client',''),</v>
      </c>
    </row>
    <row r="979" spans="1:3" customFormat="1" hidden="1" x14ac:dyDescent="0.25">
      <c r="A979" s="3" t="s">
        <v>886</v>
      </c>
      <c r="C979" t="str">
        <f t="shared" si="15"/>
        <v>('VQ PHY ONLY',''),</v>
      </c>
    </row>
    <row r="980" spans="1:3" customFormat="1" hidden="1" x14ac:dyDescent="0.25">
      <c r="A980" s="3" t="s">
        <v>886</v>
      </c>
      <c r="C980" t="str">
        <f t="shared" si="15"/>
        <v>('VQ PHY ONLY',''),</v>
      </c>
    </row>
    <row r="981" spans="1:3" customFormat="1" hidden="1" x14ac:dyDescent="0.25">
      <c r="A981" s="1" t="s">
        <v>887</v>
      </c>
      <c r="C981" t="str">
        <f t="shared" si="15"/>
        <v>('VQ TD',''),</v>
      </c>
    </row>
    <row r="982" spans="1:3" customFormat="1" hidden="1" x14ac:dyDescent="0.25">
      <c r="A982" s="1" t="s">
        <v>887</v>
      </c>
      <c r="C982" t="str">
        <f t="shared" si="15"/>
        <v>('VQ TD',''),</v>
      </c>
    </row>
    <row r="983" spans="1:3" customFormat="1" hidden="1" x14ac:dyDescent="0.25">
      <c r="A983" s="1" t="s">
        <v>888</v>
      </c>
      <c r="C983" t="str">
        <f t="shared" si="15"/>
        <v>('VQ-TD',''),</v>
      </c>
    </row>
    <row r="984" spans="1:3" customFormat="1" hidden="1" x14ac:dyDescent="0.25">
      <c r="A984" s="1" t="s">
        <v>888</v>
      </c>
      <c r="C984" t="str">
        <f t="shared" si="15"/>
        <v>('VQ-TD',''),</v>
      </c>
    </row>
    <row r="985" spans="1:3" customFormat="1" hidden="1" x14ac:dyDescent="0.25">
      <c r="A985" s="1" t="s">
        <v>889</v>
      </c>
      <c r="C985" t="str">
        <f t="shared" si="15"/>
        <v>('VS- SEE HR NOTES IF INELIGIBLE',''),</v>
      </c>
    </row>
    <row r="986" spans="1:3" customFormat="1" hidden="1" x14ac:dyDescent="0.25">
      <c r="A986" s="1" t="s">
        <v>890</v>
      </c>
      <c r="C986" t="str">
        <f t="shared" si="15"/>
        <v>('Wall High School',''),</v>
      </c>
    </row>
    <row r="987" spans="1:3" x14ac:dyDescent="0.25">
      <c r="A987" s="9" t="s">
        <v>891</v>
      </c>
      <c r="B987" s="8" t="s">
        <v>503</v>
      </c>
      <c r="C987" t="str">
        <f t="shared" si="15"/>
        <v>('Wall Township NJ','NJ'),</v>
      </c>
    </row>
    <row r="988" spans="1:3" customFormat="1" hidden="1" x14ac:dyDescent="0.25">
      <c r="A988" s="3" t="s">
        <v>892</v>
      </c>
      <c r="C988" t="str">
        <f t="shared" si="15"/>
        <v>('West Essex Middle School',''),</v>
      </c>
    </row>
    <row r="989" spans="1:3" customFormat="1" hidden="1" x14ac:dyDescent="0.25">
      <c r="A989" s="1" t="s">
        <v>893</v>
      </c>
      <c r="C989" t="str">
        <f t="shared" si="15"/>
        <v>('West Philadelphia Promise Academy.',''),</v>
      </c>
    </row>
    <row r="990" spans="1:3" customFormat="1" hidden="1" x14ac:dyDescent="0.25">
      <c r="A990" s="1" t="s">
        <v>894</v>
      </c>
      <c r="C990" t="str">
        <f t="shared" si="15"/>
        <v>('West Washington United Methodist Church',''),</v>
      </c>
    </row>
    <row r="991" spans="1:3" customFormat="1" hidden="1" x14ac:dyDescent="0.25">
      <c r="A991" s="1" t="s">
        <v>895</v>
      </c>
      <c r="C991" t="str">
        <f t="shared" si="15"/>
        <v>('WIFE DOES NOT KNOW',''),</v>
      </c>
    </row>
    <row r="992" spans="1:3" customFormat="1" hidden="1" x14ac:dyDescent="0.25">
      <c r="A992" s="1" t="s">
        <v>896</v>
      </c>
      <c r="C992" t="str">
        <f t="shared" si="15"/>
        <v>('WIFE DOES NOT KNOW ABOUT ABUSE',''),</v>
      </c>
    </row>
    <row r="993" spans="1:3" customFormat="1" hidden="1" x14ac:dyDescent="0.25">
      <c r="A993" s="1" t="s">
        <v>897</v>
      </c>
      <c r="C993" t="str">
        <f t="shared" si="15"/>
        <v>('WIFE DOES NOT KNOW!!!',''),</v>
      </c>
    </row>
    <row r="994" spans="1:3" customFormat="1" hidden="1" x14ac:dyDescent="0.25">
      <c r="A994" s="3" t="s">
        <v>898</v>
      </c>
      <c r="C994" t="str">
        <f t="shared" si="15"/>
        <v>('Wiggs Foster Home',''),</v>
      </c>
    </row>
    <row r="995" spans="1:3" customFormat="1" hidden="1" x14ac:dyDescent="0.25">
      <c r="A995" s="1" t="s">
        <v>899</v>
      </c>
      <c r="C995" t="str">
        <f t="shared" si="15"/>
        <v>('Will get back to us - too much going on right now',''),</v>
      </c>
    </row>
    <row r="996" spans="1:3" customFormat="1" hidden="1" x14ac:dyDescent="0.25">
      <c r="A996" s="1" t="s">
        <v>900</v>
      </c>
      <c r="C996" t="str">
        <f t="shared" si="15"/>
        <v>('Within SOL',''),</v>
      </c>
    </row>
    <row r="997" spans="1:3" customFormat="1" hidden="1" x14ac:dyDescent="0.25">
      <c r="A997" s="3" t="s">
        <v>901</v>
      </c>
      <c r="C997" t="str">
        <f t="shared" si="15"/>
        <v>('Women's Christian Alliance',''),</v>
      </c>
    </row>
    <row r="998" spans="1:3" customFormat="1" hidden="1" x14ac:dyDescent="0.25">
      <c r="A998" s="1" t="s">
        <v>902</v>
      </c>
      <c r="C998" t="str">
        <f t="shared" si="15"/>
        <v>('Woodsworth Academy',''),</v>
      </c>
    </row>
    <row r="999" spans="1:3" customFormat="1" hidden="1" x14ac:dyDescent="0.25">
      <c r="A999" s="1" t="s">
        <v>903</v>
      </c>
      <c r="C999" t="str">
        <f t="shared" si="15"/>
        <v>('Wordsworth Academy',''),</v>
      </c>
    </row>
    <row r="1000" spans="1:3" customFormat="1" hidden="1" x14ac:dyDescent="0.25">
      <c r="A1000" s="1" t="s">
        <v>904</v>
      </c>
      <c r="C1000" t="str">
        <f t="shared" si="15"/>
        <v>('YMCA',''),</v>
      </c>
    </row>
    <row r="1001" spans="1:3" customFormat="1" hidden="1" x14ac:dyDescent="0.25">
      <c r="A1001" s="1" t="s">
        <v>905</v>
      </c>
      <c r="C1001" t="str">
        <f t="shared" si="15"/>
        <v>('Youth Forestry Camp',''),</v>
      </c>
    </row>
    <row r="1002" spans="1:3" customFormat="1" hidden="1" x14ac:dyDescent="0.25">
      <c r="A1002" s="1" t="s">
        <v>906</v>
      </c>
      <c r="C1002" t="str">
        <f t="shared" si="15"/>
        <v>('Youth Forestry Camp #1',''),</v>
      </c>
    </row>
    <row r="1003" spans="1:3" customFormat="1" hidden="1" x14ac:dyDescent="0.25">
      <c r="A1003" s="1" t="s">
        <v>907</v>
      </c>
      <c r="C1003" t="str">
        <f t="shared" si="15"/>
        <v>('Youth Forestry Camp #3',''),</v>
      </c>
    </row>
    <row r="1004" spans="1:3" customFormat="1" hidden="1" x14ac:dyDescent="0.25">
      <c r="A1004" s="1" t="s">
        <v>908</v>
      </c>
      <c r="C1004" t="str">
        <f t="shared" si="15"/>
        <v>('Youth Services',''),</v>
      </c>
    </row>
    <row r="1005" spans="1:3" customFormat="1" hidden="1" x14ac:dyDescent="0.25">
      <c r="A1005" s="1" t="s">
        <v>909</v>
      </c>
      <c r="C1005" t="str">
        <f t="shared" si="15"/>
        <v>('Youth Services Agency',''),</v>
      </c>
    </row>
    <row r="1006" spans="1:3" customFormat="1" hidden="1" x14ac:dyDescent="0.25">
      <c r="A1006" s="1" t="s">
        <v>910</v>
      </c>
      <c r="C1006" t="str">
        <f t="shared" si="15"/>
        <v>('YWCA Day Camp',''),</v>
      </c>
    </row>
  </sheetData>
  <autoFilter ref="A1:G1006" xr:uid="{D4B46109-5333-4E33-A905-0725D55696A6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Pratt, Susan</dc:creator>
  <cp:lastModifiedBy>Smith, Dylan</cp:lastModifiedBy>
  <dcterms:created xsi:type="dcterms:W3CDTF">2026-01-14T17:00:10Z</dcterms:created>
  <dcterms:modified xsi:type="dcterms:W3CDTF">2026-01-19T15:10:23Z</dcterms:modified>
</cp:coreProperties>
</file>